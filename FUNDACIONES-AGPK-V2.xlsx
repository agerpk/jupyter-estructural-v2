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pesoa\MobiDrive\jupyter_estructural_v2\"/>
    </mc:Choice>
  </mc:AlternateContent>
  <bookViews>
    <workbookView xWindow="0" yWindow="0" windowWidth="23040" windowHeight="9072"/>
  </bookViews>
  <sheets>
    <sheet name="Calculo" sheetId="1" r:id="rId1"/>
  </sheets>
  <definedNames>
    <definedName name="a">Calculo!$J$6</definedName>
    <definedName name="acalc">Calculo!$C$109</definedName>
    <definedName name="ain">Calculo!$C$11</definedName>
    <definedName name="amin">Calculo!$F$11</definedName>
    <definedName name="b">Calculo!$J$7</definedName>
    <definedName name="bcalc">Calculo!$C$110</definedName>
    <definedName name="beta">Calculo!$C$23</definedName>
    <definedName name="bin">Calculo!$C$12</definedName>
    <definedName name="bmin">Calculo!$F$12</definedName>
    <definedName name="c_">Calculo!$C$21</definedName>
    <definedName name="cacb">Calculo!$C$45</definedName>
    <definedName name="caso_l">Calculo!$C$100</definedName>
    <definedName name="caso_t">Calculo!$C$97</definedName>
    <definedName name="con">Calculo!$C$39</definedName>
    <definedName name="dc">Calculo!$C$33</definedName>
    <definedName name="dmed">Calculo!$C$40</definedName>
    <definedName name="dmf">Calculo!$C$35</definedName>
    <definedName name="dml">Calculo!$C$34</definedName>
    <definedName name="dmol">Calculo!$C$36</definedName>
    <definedName name="dostanbeta">Calculo!$C$54</definedName>
    <definedName name="dosttanbeta">Calculo!$C$54</definedName>
    <definedName name="estructura">Calculo!$B$3</definedName>
    <definedName name="fl">Calculo!$C$29</definedName>
    <definedName name="fsadm">Calculo!$C$15</definedName>
    <definedName name="fsl">Calculo!$C$102</definedName>
    <definedName name="fst">Calculo!$C$101</definedName>
    <definedName name="ft">Calculo!$C$28</definedName>
    <definedName name="G">Calculo!$C$57</definedName>
    <definedName name="ghor">Calculo!$C$53</definedName>
    <definedName name="gp">Calculo!$C$27</definedName>
    <definedName name="gtg">Calculo!$C$56</definedName>
    <definedName name="gtot">Calculo!$C$57</definedName>
    <definedName name="h">Calculo!$C$30</definedName>
    <definedName name="he">Calculo!$C$32</definedName>
    <definedName name="hl">Calculo!$C$31</definedName>
    <definedName name="incremento">Calculo!$C$48</definedName>
    <definedName name="mbl_1">Calculo!$C$69</definedName>
    <definedName name="mbl_2">Calculo!$C$83</definedName>
    <definedName name="mbt_1">Calculo!$C$67</definedName>
    <definedName name="mbt_2">Calculo!$C$81</definedName>
    <definedName name="modo">Calculo!$B$7</definedName>
    <definedName name="mol_1">Calculo!$C$71</definedName>
    <definedName name="mol_2">Calculo!$C$85</definedName>
    <definedName name="mot_1">Calculo!$C$70</definedName>
    <definedName name="mot_2">Calculo!$C$84</definedName>
    <definedName name="msl_1">Calculo!$C$68</definedName>
    <definedName name="msl_2">Calculo!$C$82</definedName>
    <definedName name="mst_1">Calculo!$C$66</definedName>
    <definedName name="mst_2">Calculo!$C$80</definedName>
    <definedName name="mu">Calculo!$C$24</definedName>
    <definedName name="mvl_1">Calculo!$C$77</definedName>
    <definedName name="mvl_2">Calculo!$C$91</definedName>
    <definedName name="mvt_1">Calculo!$C$76</definedName>
    <definedName name="mvt_2">Calculo!$C$90</definedName>
    <definedName name="np">Calculo!$B$5</definedName>
    <definedName name="orientacion">Calculo!$B$6</definedName>
    <definedName name="pp">Calculo!$C$38</definedName>
    <definedName name="prueba">Calculo!$C$107</definedName>
    <definedName name="prueba_arm">Calculo!$C$106</definedName>
    <definedName name="relml_1">Calculo!$C$73</definedName>
    <definedName name="relml_2">Calculo!$C$87</definedName>
    <definedName name="relmt_1">Calculo!$C$72</definedName>
    <definedName name="relmt_2">Calculo!$C$86</definedName>
    <definedName name="relsigma">Calculo!$C$105</definedName>
    <definedName name="relsigma_adm">Calculo!$C$18</definedName>
    <definedName name="sigma">Calculo!$C$104</definedName>
    <definedName name="sigma_1">Calculo!$C$104</definedName>
    <definedName name="sigma_adm">Calculo!$C$22</definedName>
    <definedName name="sl_1">Calculo!$C$75</definedName>
    <definedName name="sl_2">Calculo!$C$89</definedName>
    <definedName name="spc">Calculo!$C$37</definedName>
    <definedName name="st_1">Calculo!$C$74</definedName>
    <definedName name="st_2">Calculo!$C$88</definedName>
    <definedName name="t">Calculo!$J$8</definedName>
    <definedName name="t_he">Calculo!$C$103</definedName>
    <definedName name="t_he_req">Calculo!$C$17</definedName>
    <definedName name="tan_alfa1l">Calculo!$C$62</definedName>
    <definedName name="tan_alfa1t">Calculo!$C$60</definedName>
    <definedName name="tan_alfa2l">Calculo!$C$63</definedName>
    <definedName name="tan_alfa2t">Calculo!$C$61</definedName>
    <definedName name="tcalc">Calculo!$C$108</definedName>
    <definedName name="tg_alfa_adm">Calculo!$C$16</definedName>
    <definedName name="tin">Calculo!$C$10</definedName>
    <definedName name="tipo">Calculo!$B$4</definedName>
    <definedName name="tipo_estructura">Calculo!$B$2</definedName>
    <definedName name="tmin">Calculo!$F$10</definedName>
    <definedName name="vhor">Calculo!$C$52</definedName>
    <definedName name="vtg">Calculo!$C$55</definedName>
    <definedName name="yhor">Calculo!$C$43</definedName>
    <definedName name="ytierra">Calculo!$C$44</definedName>
  </definedNames>
  <calcPr calcId="162913"/>
  <extLst>
    <ext uri="GoogleSheetsCustomDataVersion2">
      <go:sheetsCustomData xmlns:go="http://customooxmlschemas.google.com/" r:id="rId14" roundtripDataChecksum="SspALAB/LcieL9yWsPiEo7IvIQY4XWkLcmt9LSGmfa8="/>
    </ext>
  </extLst>
</workbook>
</file>

<file path=xl/calcChain.xml><?xml version="1.0" encoding="utf-8"?>
<calcChain xmlns="http://schemas.openxmlformats.org/spreadsheetml/2006/main">
  <c r="C32" i="1" l="1"/>
  <c r="F10" i="1" s="1"/>
  <c r="C31" i="1"/>
  <c r="I25" i="1"/>
  <c r="C22" i="1"/>
  <c r="C21" i="1"/>
  <c r="F12" i="1"/>
  <c r="F11" i="1"/>
  <c r="I24" i="1" s="1"/>
  <c r="J8" i="1"/>
  <c r="J7" i="1"/>
  <c r="J6" i="1"/>
  <c r="C40" i="1" l="1"/>
  <c r="C103" i="1"/>
  <c r="J18" i="1"/>
  <c r="C54" i="1"/>
  <c r="C55" i="1" s="1"/>
  <c r="C56" i="1" s="1"/>
  <c r="K18" i="1" l="1"/>
  <c r="C106" i="1"/>
  <c r="C52" i="1" a="1"/>
  <c r="C52" i="1" s="1"/>
  <c r="C53" i="1" l="1"/>
  <c r="J16" i="1"/>
  <c r="C57" i="1" l="1"/>
  <c r="C61" i="1" l="1"/>
  <c r="C60" i="1"/>
  <c r="C81" i="1"/>
  <c r="C63" i="1"/>
  <c r="C62" i="1"/>
  <c r="C104" i="1"/>
  <c r="C105" i="1" l="1"/>
  <c r="J15" i="1" s="1"/>
  <c r="J13" i="1"/>
  <c r="K13" i="1" s="1"/>
  <c r="C98" i="1"/>
  <c r="C68" i="1" a="1"/>
  <c r="C68" i="1" s="1"/>
  <c r="C82" i="1"/>
  <c r="C99" i="1"/>
  <c r="J14" i="1"/>
  <c r="K14" i="1" s="1"/>
  <c r="C69" i="1"/>
  <c r="C83" i="1"/>
  <c r="J11" i="1"/>
  <c r="K11" i="1" s="1"/>
  <c r="C95" i="1"/>
  <c r="C97" i="1" s="1"/>
  <c r="C66" i="1"/>
  <c r="C80" i="1"/>
  <c r="J12" i="1"/>
  <c r="K12" i="1" s="1"/>
  <c r="C96" i="1"/>
  <c r="C67" i="1"/>
  <c r="C87" i="1" l="1"/>
  <c r="C89" i="1" s="1"/>
  <c r="C91" i="1" s="1"/>
  <c r="C85" i="1"/>
  <c r="C73" i="1"/>
  <c r="C75" i="1" s="1"/>
  <c r="C77" i="1" s="1"/>
  <c r="C71" i="1"/>
  <c r="C100" i="1"/>
  <c r="C86" i="1"/>
  <c r="C88" i="1" s="1" a="1"/>
  <c r="C88" i="1" s="1"/>
  <c r="C90" i="1" s="1" a="1"/>
  <c r="C90" i="1" s="1"/>
  <c r="C84" i="1"/>
  <c r="C101" i="1" s="1"/>
  <c r="C72" i="1"/>
  <c r="C74" i="1" s="1"/>
  <c r="C76" i="1" s="1"/>
  <c r="C70" i="1" a="1"/>
  <c r="C70" i="1" s="1"/>
  <c r="J9" i="1" l="1"/>
  <c r="K9" i="1" s="1"/>
  <c r="C102" i="1"/>
  <c r="J10" i="1" l="1"/>
  <c r="K10" i="1"/>
  <c r="C107" i="1"/>
  <c r="C110" i="1" l="1"/>
  <c r="C109" i="1"/>
  <c r="C108" i="1"/>
</calcChain>
</file>

<file path=xl/sharedStrings.xml><?xml version="1.0" encoding="utf-8"?>
<sst xmlns="http://schemas.openxmlformats.org/spreadsheetml/2006/main" count="306" uniqueCount="219">
  <si>
    <t>Variable</t>
  </si>
  <si>
    <t>Símbolo</t>
  </si>
  <si>
    <t>Valor</t>
  </si>
  <si>
    <t>Unidad</t>
  </si>
  <si>
    <t>Fórmula</t>
  </si>
  <si>
    <t>Tipo de Estructura</t>
  </si>
  <si>
    <t>SDUdt</t>
  </si>
  <si>
    <t>Estructura</t>
  </si>
  <si>
    <t>1x15 R/3900</t>
  </si>
  <si>
    <t>Tipo de base</t>
  </si>
  <si>
    <t>Rombica</t>
  </si>
  <si>
    <t>Resultados</t>
  </si>
  <si>
    <t>Cant. Postes</t>
  </si>
  <si>
    <t>2 postes: Colineal o Transversal?</t>
  </si>
  <si>
    <t>N/A</t>
  </si>
  <si>
    <t>Longitud colineal con F, inferior</t>
  </si>
  <si>
    <t>a</t>
  </si>
  <si>
    <t>m</t>
  </si>
  <si>
    <t>Modo:</t>
  </si>
  <si>
    <t>Cargar datos</t>
  </si>
  <si>
    <t>Longitud transversal a F, inferior</t>
  </si>
  <si>
    <t>b</t>
  </si>
  <si>
    <t>Profundidad</t>
  </si>
  <si>
    <t>t</t>
  </si>
  <si>
    <t>Dimensionamiento inicial</t>
  </si>
  <si>
    <t>Mínima por moldes</t>
  </si>
  <si>
    <t>Factor de Seguridad Transversal</t>
  </si>
  <si>
    <t>FSt</t>
  </si>
  <si>
    <t>Profundidad propuesta</t>
  </si>
  <si>
    <t>tin</t>
  </si>
  <si>
    <t>tmin</t>
  </si>
  <si>
    <t>Factor de Seguridad Longitudinal</t>
  </si>
  <si>
    <t>FSl</t>
  </si>
  <si>
    <t>Longitud colineal con línea, inferior</t>
  </si>
  <si>
    <t>ain</t>
  </si>
  <si>
    <t>amin</t>
  </si>
  <si>
    <t>Inclinación, 1, transversal</t>
  </si>
  <si>
    <t>tg ∝1 t</t>
  </si>
  <si>
    <t>Longitud transversal a línea, inferior</t>
  </si>
  <si>
    <t>bin</t>
  </si>
  <si>
    <t>bmin</t>
  </si>
  <si>
    <t>Inclinación, 2, transversal</t>
  </si>
  <si>
    <t>tg ∝2 t</t>
  </si>
  <si>
    <t>Inclinación, 1, longitudinal</t>
  </si>
  <si>
    <t>tg ∝1 l</t>
  </si>
  <si>
    <t xml:space="preserve">Requerimientos </t>
  </si>
  <si>
    <t>Inclinación, 2, longitudinal</t>
  </si>
  <si>
    <t>tg ∝2 l</t>
  </si>
  <si>
    <t>Coeficiente de seguridad al volcamiento</t>
  </si>
  <si>
    <t>F.S</t>
  </si>
  <si>
    <t xml:space="preserve"> - </t>
  </si>
  <si>
    <t>mayor o igual</t>
  </si>
  <si>
    <t>(Ms+Mb)/sM</t>
  </si>
  <si>
    <t>Rel. presión</t>
  </si>
  <si>
    <t>σ/σadm</t>
  </si>
  <si>
    <t>Inclinación por desplazamiento de base</t>
  </si>
  <si>
    <t>tg ∝ adm</t>
  </si>
  <si>
    <t>menor o igual</t>
  </si>
  <si>
    <t>x/t</t>
  </si>
  <si>
    <t>Volumen de Hormigón</t>
  </si>
  <si>
    <t>Vhor</t>
  </si>
  <si>
    <t>m3</t>
  </si>
  <si>
    <t>Relación max. Sin armadura</t>
  </si>
  <si>
    <t>t/he</t>
  </si>
  <si>
    <t>Superación de la presión admisible</t>
  </si>
  <si>
    <t>σmax/σadm</t>
  </si>
  <si>
    <t>Relación de longitudes</t>
  </si>
  <si>
    <t>Datos de la tierra</t>
  </si>
  <si>
    <t>Índice de compresibilidad C, al metro</t>
  </si>
  <si>
    <t>C</t>
  </si>
  <si>
    <t>kg/m3</t>
  </si>
  <si>
    <t>Planilla 1</t>
  </si>
  <si>
    <t>Ajustado a 1m (lineal)</t>
  </si>
  <si>
    <t>Presión admisible</t>
  </si>
  <si>
    <t>σadm</t>
  </si>
  <si>
    <t>kg/m2</t>
  </si>
  <si>
    <t>Ángulo de tierra gravante</t>
  </si>
  <si>
    <t>β</t>
  </si>
  <si>
    <t>grados</t>
  </si>
  <si>
    <t>Coeficiente de fricción terreno-hormigón</t>
  </si>
  <si>
    <t>μ</t>
  </si>
  <si>
    <t>Datos del poste</t>
  </si>
  <si>
    <t>Masa total poste y elementos</t>
  </si>
  <si>
    <t>Gp</t>
  </si>
  <si>
    <t>kg</t>
  </si>
  <si>
    <t>Fuerza transversal aplicada</t>
  </si>
  <si>
    <t>Ft</t>
  </si>
  <si>
    <t>kgf</t>
  </si>
  <si>
    <t>Fuerza longitudinal aplicada</t>
  </si>
  <si>
    <t>Fl</t>
  </si>
  <si>
    <t>Altura total</t>
  </si>
  <si>
    <t>h</t>
  </si>
  <si>
    <t>Altura libre</t>
  </si>
  <si>
    <t>hl</t>
  </si>
  <si>
    <t>Altura empotrada</t>
  </si>
  <si>
    <t>he</t>
  </si>
  <si>
    <t>Diámetro en la cima</t>
  </si>
  <si>
    <t>dc</t>
  </si>
  <si>
    <t>Distancia del molde p/ hueco al lateral</t>
  </si>
  <si>
    <t>dml</t>
  </si>
  <si>
    <t>Distancia del molde p/ hueco al fondo</t>
  </si>
  <si>
    <t>dmf</t>
  </si>
  <si>
    <t>Diámetro del molde</t>
  </si>
  <si>
    <t>dmol</t>
  </si>
  <si>
    <t>Separación entre postes en cima</t>
  </si>
  <si>
    <t>spc</t>
  </si>
  <si>
    <t>Pendiente de postes dobles, triples entre sí</t>
  </si>
  <si>
    <t>pp</t>
  </si>
  <si>
    <t>Conicidad poste</t>
  </si>
  <si>
    <t>con</t>
  </si>
  <si>
    <t>Diámetro medio (empotrado)</t>
  </si>
  <si>
    <t>Ømed</t>
  </si>
  <si>
    <t>Datos invariables</t>
  </si>
  <si>
    <t>Densidad del hormigón</t>
  </si>
  <si>
    <t>γhor</t>
  </si>
  <si>
    <t>Tipo H25</t>
  </si>
  <si>
    <t>Densidad tierra</t>
  </si>
  <si>
    <t>γtierra</t>
  </si>
  <si>
    <t>Coeficiente aumento Cb respecto Ct</t>
  </si>
  <si>
    <t>cacb</t>
  </si>
  <si>
    <t>Configuración de cálculo</t>
  </si>
  <si>
    <t>Incremento</t>
  </si>
  <si>
    <t>incremento</t>
  </si>
  <si>
    <t>Cálculo "Bloque simple de hormigón"</t>
  </si>
  <si>
    <t>Se utilizan las dimensiones a, b, t</t>
  </si>
  <si>
    <t>C. Masa Total</t>
  </si>
  <si>
    <t>Volumen de homigón</t>
  </si>
  <si>
    <t>Incluye sello</t>
  </si>
  <si>
    <t>a b t - vol(poste)</t>
  </si>
  <si>
    <t>Masa de hormigón</t>
  </si>
  <si>
    <t>Ghor</t>
  </si>
  <si>
    <t>(aux) 2.t.tan(β)</t>
  </si>
  <si>
    <t>2.t.tanβ</t>
  </si>
  <si>
    <t>Volumen tierra gravante</t>
  </si>
  <si>
    <t>Vtg</t>
  </si>
  <si>
    <t>En ángulo β</t>
  </si>
  <si>
    <t>Masa tierra gravante</t>
  </si>
  <si>
    <t>Gtg</t>
  </si>
  <si>
    <t>Masa total</t>
  </si>
  <si>
    <t>Gtot</t>
  </si>
  <si>
    <t>Gp+Ghor+Gtg</t>
  </si>
  <si>
    <t>C. Inclinaciones</t>
  </si>
  <si>
    <t>cuadrado // romboidal</t>
  </si>
  <si>
    <t>tg ∝1t</t>
  </si>
  <si>
    <t>6 μ G / (b t2 Ct) // 4,5 μ G / (b t2 Ct)</t>
  </si>
  <si>
    <t>tg ∝2t</t>
  </si>
  <si>
    <t>2 G / (a2 b Cb) // raiz2 G / (a2 b Cb</t>
  </si>
  <si>
    <t>tg ∝1l</t>
  </si>
  <si>
    <t>invirtiendo a&lt;-&gt;b</t>
  </si>
  <si>
    <t>Inclinación, 2,  longitudinal</t>
  </si>
  <si>
    <t>tg ∝2l</t>
  </si>
  <si>
    <t>Caso 1: tg ∝ &gt; admisible (eje en 2/3)</t>
  </si>
  <si>
    <t>Momento de encastramiento, transversal</t>
  </si>
  <si>
    <t>mst</t>
  </si>
  <si>
    <t>kg.m</t>
  </si>
  <si>
    <t>uso alfa1t</t>
  </si>
  <si>
    <t>Momento de base, transversal</t>
  </si>
  <si>
    <t>mbt</t>
  </si>
  <si>
    <t>uso alfa2t</t>
  </si>
  <si>
    <t>Momento de encastramiento, longitudinal</t>
  </si>
  <si>
    <t>msl</t>
  </si>
  <si>
    <t>uso alfa1l</t>
  </si>
  <si>
    <t>Momento de base, longitudinal</t>
  </si>
  <si>
    <t>mbl</t>
  </si>
  <si>
    <t>uso alfa2l</t>
  </si>
  <si>
    <t>Momento Opositor, transversal</t>
  </si>
  <si>
    <t>mot</t>
  </si>
  <si>
    <t>Momento Opositor, longitudinal</t>
  </si>
  <si>
    <t>mol</t>
  </si>
  <si>
    <t>Relación de momentos transversal</t>
  </si>
  <si>
    <t>mst/mbt</t>
  </si>
  <si>
    <t>Relación de momentos longitudinal</t>
  </si>
  <si>
    <t>msl/mbl</t>
  </si>
  <si>
    <t>Coeficiente s, transversal</t>
  </si>
  <si>
    <t>st</t>
  </si>
  <si>
    <t>Coeficiente s, longitudinal</t>
  </si>
  <si>
    <t>sl</t>
  </si>
  <si>
    <t>Momento Volcador, transversal</t>
  </si>
  <si>
    <t>Mvt</t>
  </si>
  <si>
    <t>En 2/3 t</t>
  </si>
  <si>
    <t>Momento Volcador, longitudinal</t>
  </si>
  <si>
    <t>Mvl</t>
  </si>
  <si>
    <t>Caso 2: tg ∝ &lt; admisible (eje en base)</t>
  </si>
  <si>
    <t>en t</t>
  </si>
  <si>
    <t>Resolución</t>
  </si>
  <si>
    <t>Estado tg ∝1t</t>
  </si>
  <si>
    <t>sel1t</t>
  </si>
  <si>
    <t>Estado tg ∝2t</t>
  </si>
  <si>
    <t>sel2t</t>
  </si>
  <si>
    <t>Caso transversal</t>
  </si>
  <si>
    <t>Caso_t</t>
  </si>
  <si>
    <t>Estado tg ∝1l</t>
  </si>
  <si>
    <t>sel1l</t>
  </si>
  <si>
    <t>Estado tg ∝2l</t>
  </si>
  <si>
    <t>sel2l</t>
  </si>
  <si>
    <t>Caso longitudinal</t>
  </si>
  <si>
    <t>Caso_l</t>
  </si>
  <si>
    <t>Factor de Seguridad al Vuelco, Transversal</t>
  </si>
  <si>
    <t>fst</t>
  </si>
  <si>
    <t>Factor de Seguridad al Vuelco, Longitudinal</t>
  </si>
  <si>
    <t>fsl</t>
  </si>
  <si>
    <t>Relación de armadura</t>
  </si>
  <si>
    <t>Presión en fondo</t>
  </si>
  <si>
    <t>σ</t>
  </si>
  <si>
    <t>Relación de presiones</t>
  </si>
  <si>
    <t>Se llegó al tmax?</t>
  </si>
  <si>
    <t>prueba_arm</t>
  </si>
  <si>
    <t>La profundidad es aceptable?</t>
  </si>
  <si>
    <t>prueba</t>
  </si>
  <si>
    <t>Procedimiento: Si !prueba; Ensanchar t hasta tmax, luego ensanchar a y b</t>
  </si>
  <si>
    <t>Nueva profundidad</t>
  </si>
  <si>
    <t>tcalc</t>
  </si>
  <si>
    <t>Incrementar t: Si no da prueba, si no se llegó a tmax</t>
  </si>
  <si>
    <t>Nueva a</t>
  </si>
  <si>
    <t>acalc</t>
  </si>
  <si>
    <t>Incrementar a y b: Si no da prueba, si se llegó a tmax</t>
  </si>
  <si>
    <t>Nueva b</t>
  </si>
  <si>
    <t>bcalc</t>
  </si>
  <si>
    <t>Dejar de incrementar: Si da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</si>
</sst>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0"/>
    <numFmt numFmtId="165" formatCode="0.000"/>
    <numFmt numFmtId="166" formatCode="0.0%"/>
    <numFmt numFmtId="167" formatCode="0.00000"/>
  </numFmts>
  <fonts count="9" x14ac:knownFonts="1">
    <font>
      <sz val="10"/>
      <color rgb="FF000000"/>
      <name val="Arial"/>
      <scheme val="minor"/>
    </font>
    <font>
      <b/>
      <sz val="10"/>
      <color rgb="FF073763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073763"/>
      <name val="Calibri"/>
    </font>
    <font>
      <b/>
      <sz val="10"/>
      <color rgb="FFFFFFFF"/>
      <name val="Calibri"/>
    </font>
    <font>
      <b/>
      <sz val="10"/>
      <color theme="0"/>
      <name val="Calibri"/>
    </font>
    <font>
      <sz val="10"/>
      <name val="Arial"/>
    </font>
    <font>
      <b/>
      <u/>
      <sz val="10"/>
      <color rgb="FF07376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274E13"/>
        <bgColor rgb="FF274E1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thick">
        <color rgb="FFFF6D01"/>
      </left>
      <right style="thick">
        <color rgb="FFFF6D01"/>
      </right>
      <top style="thick">
        <color rgb="FFFF6D01"/>
      </top>
      <bottom style="thick">
        <color rgb="FFFF6D01"/>
      </bottom>
      <diagonal/>
    </border>
    <border>
      <left style="thick">
        <color rgb="FF274E13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274E13"/>
      </left>
      <right/>
      <top/>
      <bottom/>
      <diagonal/>
    </border>
    <border>
      <left/>
      <right/>
      <top style="thick">
        <color rgb="FFFF6D01"/>
      </top>
      <bottom style="thick">
        <color rgb="FFFF6D01"/>
      </bottom>
      <diagonal/>
    </border>
    <border>
      <left style="medium">
        <color theme="8"/>
      </left>
      <right/>
      <top style="thick">
        <color theme="8"/>
      </top>
      <bottom/>
      <diagonal/>
    </border>
    <border>
      <left/>
      <right/>
      <top style="thick">
        <color theme="8"/>
      </top>
      <bottom/>
      <diagonal/>
    </border>
    <border>
      <left/>
      <right style="medium">
        <color theme="8"/>
      </right>
      <top style="thick">
        <color theme="8"/>
      </top>
      <bottom/>
      <diagonal/>
    </border>
    <border>
      <left/>
      <right style="thick">
        <color theme="8"/>
      </right>
      <top style="thick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/>
      <right style="thick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/>
      <right style="thick">
        <color theme="8"/>
      </right>
      <top/>
      <bottom style="medium">
        <color theme="8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thick">
        <color rgb="FFFF6D01"/>
      </left>
      <right style="thick">
        <color rgb="FFFF6D01"/>
      </right>
      <top style="thick">
        <color rgb="FFFF6D01"/>
      </top>
      <bottom/>
      <diagonal/>
    </border>
    <border>
      <left style="thick">
        <color rgb="FFFF6D01"/>
      </left>
      <right style="thick">
        <color rgb="FFFF6D01"/>
      </right>
      <top style="thick">
        <color rgb="FFFF6D01"/>
      </top>
      <bottom style="medium">
        <color theme="8"/>
      </bottom>
      <diagonal/>
    </border>
    <border>
      <left/>
      <right/>
      <top/>
      <bottom/>
      <diagonal/>
    </border>
    <border>
      <left/>
      <right/>
      <top/>
      <bottom style="medium">
        <color theme="8"/>
      </bottom>
      <diagonal/>
    </border>
    <border>
      <left/>
      <right/>
      <top style="thin">
        <color rgb="FF0C343D"/>
      </top>
      <bottom/>
      <diagonal/>
    </border>
    <border>
      <left/>
      <right/>
      <top/>
      <bottom style="thin">
        <color rgb="FF0C343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0" xfId="0" applyFont="1" applyAlignment="1">
      <alignment horizontal="left"/>
    </xf>
    <xf numFmtId="2" fontId="1" fillId="0" borderId="6" xfId="0" applyNumberFormat="1" applyFont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1" fillId="0" borderId="7" xfId="0" applyFont="1" applyBorder="1"/>
    <xf numFmtId="0" fontId="4" fillId="0" borderId="8" xfId="0" applyFont="1" applyBorder="1" applyAlignment="1">
      <alignment horizontal="center"/>
    </xf>
    <xf numFmtId="2" fontId="1" fillId="0" borderId="8" xfId="0" applyNumberFormat="1" applyFont="1" applyBorder="1" applyAlignment="1">
      <alignment horizontal="right"/>
    </xf>
    <xf numFmtId="0" fontId="4" fillId="0" borderId="9" xfId="0" applyFont="1" applyBorder="1" applyAlignment="1">
      <alignment horizontal="left"/>
    </xf>
    <xf numFmtId="0" fontId="4" fillId="0" borderId="11" xfId="0" applyFont="1" applyBorder="1"/>
    <xf numFmtId="2" fontId="1" fillId="5" borderId="1" xfId="0" applyNumberFormat="1" applyFont="1" applyFill="1" applyBorder="1" applyAlignment="1">
      <alignment horizontal="right"/>
    </xf>
    <xf numFmtId="0" fontId="4" fillId="0" borderId="12" xfId="0" applyFont="1" applyBorder="1" applyAlignment="1">
      <alignment horizontal="left"/>
    </xf>
    <xf numFmtId="0" fontId="4" fillId="0" borderId="0" xfId="0" applyFont="1" applyAlignment="1">
      <alignment horizontal="right"/>
    </xf>
    <xf numFmtId="2" fontId="4" fillId="0" borderId="0" xfId="0" applyNumberFormat="1" applyFont="1"/>
    <xf numFmtId="0" fontId="4" fillId="0" borderId="13" xfId="0" applyFont="1" applyBorder="1" applyAlignment="1">
      <alignment horizontal="left"/>
    </xf>
    <xf numFmtId="164" fontId="1" fillId="0" borderId="6" xfId="0" applyNumberFormat="1" applyFont="1" applyBorder="1" applyAlignment="1">
      <alignment horizontal="right"/>
    </xf>
    <xf numFmtId="0" fontId="4" fillId="0" borderId="14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5" xfId="0" applyFont="1" applyBorder="1" applyAlignment="1">
      <alignment horizontal="right"/>
    </xf>
    <xf numFmtId="2" fontId="4" fillId="0" borderId="15" xfId="0" applyNumberFormat="1" applyFont="1" applyBorder="1"/>
    <xf numFmtId="0" fontId="4" fillId="0" borderId="17" xfId="0" applyFont="1" applyBorder="1" applyAlignment="1">
      <alignment horizontal="left"/>
    </xf>
    <xf numFmtId="0" fontId="1" fillId="0" borderId="18" xfId="0" applyFont="1" applyBorder="1"/>
    <xf numFmtId="0" fontId="4" fillId="0" borderId="19" xfId="0" applyFont="1" applyBorder="1" applyAlignment="1">
      <alignment horizontal="center"/>
    </xf>
    <xf numFmtId="2" fontId="1" fillId="0" borderId="19" xfId="0" applyNumberFormat="1" applyFont="1" applyBorder="1" applyAlignment="1">
      <alignment horizontal="right"/>
    </xf>
    <xf numFmtId="0" fontId="4" fillId="0" borderId="20" xfId="0" applyFont="1" applyBorder="1" applyAlignment="1">
      <alignment horizontal="left"/>
    </xf>
    <xf numFmtId="2" fontId="1" fillId="5" borderId="21" xfId="0" applyNumberFormat="1" applyFont="1" applyFill="1" applyBorder="1" applyAlignment="1">
      <alignment horizontal="right"/>
    </xf>
    <xf numFmtId="2" fontId="1" fillId="5" borderId="22" xfId="0" applyNumberFormat="1" applyFont="1" applyFill="1" applyBorder="1" applyAlignment="1">
      <alignment horizontal="right"/>
    </xf>
    <xf numFmtId="4" fontId="1" fillId="0" borderId="6" xfId="0" applyNumberFormat="1" applyFont="1" applyBorder="1" applyAlignment="1">
      <alignment horizontal="right"/>
    </xf>
    <xf numFmtId="11" fontId="1" fillId="5" borderId="1" xfId="0" applyNumberFormat="1" applyFont="1" applyFill="1" applyBorder="1" applyAlignment="1">
      <alignment horizontal="right"/>
    </xf>
    <xf numFmtId="1" fontId="1" fillId="5" borderId="1" xfId="0" applyNumberFormat="1" applyFont="1" applyFill="1" applyBorder="1" applyAlignment="1">
      <alignment horizontal="right"/>
    </xf>
    <xf numFmtId="165" fontId="1" fillId="0" borderId="0" xfId="0" applyNumberFormat="1" applyFont="1" applyAlignment="1">
      <alignment horizontal="left"/>
    </xf>
    <xf numFmtId="2" fontId="1" fillId="0" borderId="1" xfId="0" applyNumberFormat="1" applyFont="1" applyBorder="1" applyAlignment="1">
      <alignment horizontal="right"/>
    </xf>
    <xf numFmtId="2" fontId="1" fillId="6" borderId="1" xfId="0" applyNumberFormat="1" applyFont="1" applyFill="1" applyBorder="1" applyAlignment="1">
      <alignment horizontal="right"/>
    </xf>
    <xf numFmtId="9" fontId="1" fillId="5" borderId="1" xfId="0" applyNumberFormat="1" applyFont="1" applyFill="1" applyBorder="1" applyAlignment="1">
      <alignment horizontal="right"/>
    </xf>
    <xf numFmtId="166" fontId="1" fillId="5" borderId="1" xfId="0" applyNumberFormat="1" applyFont="1" applyFill="1" applyBorder="1" applyAlignment="1">
      <alignment horizontal="right"/>
    </xf>
    <xf numFmtId="167" fontId="1" fillId="0" borderId="0" xfId="0" applyNumberFormat="1" applyFont="1"/>
    <xf numFmtId="165" fontId="1" fillId="6" borderId="22" xfId="0" applyNumberFormat="1" applyFont="1" applyFill="1" applyBorder="1" applyAlignment="1">
      <alignment horizontal="right"/>
    </xf>
    <xf numFmtId="0" fontId="4" fillId="7" borderId="23" xfId="0" applyFont="1" applyFill="1" applyBorder="1" applyAlignment="1">
      <alignment horizontal="center"/>
    </xf>
    <xf numFmtId="2" fontId="1" fillId="5" borderId="23" xfId="0" applyNumberFormat="1" applyFont="1" applyFill="1" applyBorder="1" applyAlignment="1">
      <alignment horizontal="right"/>
    </xf>
    <xf numFmtId="2" fontId="1" fillId="5" borderId="24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25" xfId="0" applyFont="1" applyBorder="1"/>
    <xf numFmtId="0" fontId="4" fillId="0" borderId="25" xfId="0" applyFont="1" applyBorder="1" applyAlignment="1">
      <alignment horizontal="center"/>
    </xf>
    <xf numFmtId="2" fontId="1" fillId="0" borderId="25" xfId="0" applyNumberFormat="1" applyFont="1" applyBorder="1" applyAlignment="1">
      <alignment horizontal="right"/>
    </xf>
    <xf numFmtId="0" fontId="4" fillId="0" borderId="25" xfId="0" applyFont="1" applyBorder="1" applyAlignment="1">
      <alignment horizontal="left"/>
    </xf>
    <xf numFmtId="0" fontId="1" fillId="0" borderId="25" xfId="0" applyFont="1" applyBorder="1"/>
    <xf numFmtId="0" fontId="4" fillId="0" borderId="25" xfId="0" applyFont="1" applyBorder="1" applyAlignment="1">
      <alignment horizontal="right"/>
    </xf>
    <xf numFmtId="0" fontId="4" fillId="0" borderId="26" xfId="0" applyFont="1" applyBorder="1"/>
    <xf numFmtId="0" fontId="4" fillId="0" borderId="26" xfId="0" applyFont="1" applyBorder="1" applyAlignment="1">
      <alignment horizontal="center"/>
    </xf>
    <xf numFmtId="2" fontId="1" fillId="0" borderId="26" xfId="0" applyNumberFormat="1" applyFont="1" applyBorder="1" applyAlignment="1">
      <alignment horizontal="right"/>
    </xf>
    <xf numFmtId="0" fontId="4" fillId="0" borderId="26" xfId="0" applyFont="1" applyBorder="1" applyAlignment="1">
      <alignment horizontal="left"/>
    </xf>
    <xf numFmtId="0" fontId="1" fillId="0" borderId="26" xfId="0" applyFont="1" applyBorder="1"/>
    <xf numFmtId="0" fontId="4" fillId="0" borderId="26" xfId="0" applyFont="1" applyBorder="1" applyAlignment="1">
      <alignment horizontal="right"/>
    </xf>
    <xf numFmtId="11" fontId="1" fillId="0" borderId="25" xfId="0" applyNumberFormat="1" applyFont="1" applyBorder="1" applyAlignment="1">
      <alignment horizontal="right"/>
    </xf>
    <xf numFmtId="11" fontId="1" fillId="0" borderId="0" xfId="0" applyNumberFormat="1" applyFont="1" applyAlignment="1">
      <alignment horizontal="right"/>
    </xf>
    <xf numFmtId="0" fontId="1" fillId="0" borderId="27" xfId="0" applyFont="1" applyBorder="1"/>
    <xf numFmtId="0" fontId="4" fillId="0" borderId="27" xfId="0" applyFont="1" applyBorder="1" applyAlignment="1">
      <alignment horizontal="center"/>
    </xf>
    <xf numFmtId="2" fontId="1" fillId="0" borderId="27" xfId="0" applyNumberFormat="1" applyFont="1" applyBorder="1" applyAlignment="1">
      <alignment horizontal="right"/>
    </xf>
    <xf numFmtId="0" fontId="4" fillId="0" borderId="27" xfId="0" applyFont="1" applyBorder="1" applyAlignment="1">
      <alignment horizontal="left"/>
    </xf>
    <xf numFmtId="0" fontId="4" fillId="0" borderId="27" xfId="0" applyFont="1" applyBorder="1"/>
    <xf numFmtId="0" fontId="4" fillId="0" borderId="27" xfId="0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3" fillId="0" borderId="0" xfId="0" applyFont="1"/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1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10" xfId="0" applyFont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pane ySplit="1" topLeftCell="A122" activePane="bottomLeft" state="frozen"/>
      <selection pane="bottomLeft" activeCell="B3" sqref="B3"/>
    </sheetView>
  </sheetViews>
  <sheetFormatPr baseColWidth="10" defaultColWidth="12.6640625" defaultRowHeight="15" customHeight="1" x14ac:dyDescent="0.25"/>
  <cols>
    <col min="1" max="1" width="33.109375" customWidth="1"/>
    <col min="2" max="2" width="12.6640625" customWidth="1"/>
    <col min="3" max="3" width="12.33203125" customWidth="1"/>
    <col min="4" max="4" width="12.6640625" customWidth="1"/>
    <col min="5" max="5" width="7.33203125" customWidth="1"/>
    <col min="6" max="6" width="11" customWidth="1"/>
    <col min="7" max="7" width="13.109375" customWidth="1"/>
    <col min="8" max="8" width="31.21875" customWidth="1"/>
    <col min="10" max="10" width="13.88671875" customWidth="1"/>
    <col min="11" max="11" width="16.6640625" customWidth="1"/>
  </cols>
  <sheetData>
    <row r="1" spans="1:26" ht="15.7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/>
      <c r="F1" s="2"/>
      <c r="G1" s="2" t="s">
        <v>4</v>
      </c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3">
      <c r="A2" s="1" t="s">
        <v>5</v>
      </c>
      <c r="B2" s="2" t="s">
        <v>6</v>
      </c>
      <c r="C2" s="3"/>
      <c r="D2" s="2"/>
      <c r="E2" s="2"/>
      <c r="F2" s="2"/>
      <c r="G2" s="2"/>
      <c r="H2" s="4"/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3">
      <c r="A3" s="1" t="s">
        <v>7</v>
      </c>
      <c r="B3" s="81" t="s">
        <v>8</v>
      </c>
      <c r="C3" s="3"/>
      <c r="D3" s="2"/>
      <c r="E3" s="2"/>
      <c r="F3" s="2"/>
      <c r="G3" s="2"/>
      <c r="H3" s="4"/>
      <c r="I3" s="4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3">
      <c r="A4" s="7" t="s">
        <v>9</v>
      </c>
      <c r="B4" s="8" t="s">
        <v>10</v>
      </c>
      <c r="C4" s="3"/>
      <c r="D4" s="2"/>
      <c r="E4" s="2"/>
      <c r="F4" s="2"/>
      <c r="G4" s="2"/>
      <c r="H4" s="75" t="s">
        <v>11</v>
      </c>
      <c r="I4" s="76"/>
      <c r="J4" s="76"/>
      <c r="K4" s="7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3">
      <c r="A5" s="7" t="s">
        <v>12</v>
      </c>
      <c r="B5" s="8">
        <v>1</v>
      </c>
      <c r="C5" s="3"/>
      <c r="D5" s="6"/>
      <c r="E5" s="9"/>
      <c r="F5" s="6"/>
      <c r="G5" s="10"/>
      <c r="H5" s="11"/>
      <c r="I5" s="4"/>
      <c r="J5" s="5"/>
      <c r="K5" s="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7" t="s">
        <v>13</v>
      </c>
      <c r="B6" s="8" t="s">
        <v>14</v>
      </c>
      <c r="C6" s="3"/>
      <c r="D6" s="9"/>
      <c r="E6" s="9"/>
      <c r="F6" s="6"/>
      <c r="G6" s="10"/>
      <c r="H6" s="6" t="s">
        <v>15</v>
      </c>
      <c r="I6" s="12" t="s">
        <v>16</v>
      </c>
      <c r="J6" s="13">
        <f>IF(modo="Cargar datos",ain,acalc)</f>
        <v>1.3</v>
      </c>
      <c r="K6" s="9" t="s">
        <v>17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7" t="s">
        <v>18</v>
      </c>
      <c r="B7" s="14" t="s">
        <v>19</v>
      </c>
      <c r="C7" s="3"/>
      <c r="D7" s="9"/>
      <c r="E7" s="9"/>
      <c r="F7" s="4"/>
      <c r="G7" s="10"/>
      <c r="H7" s="6" t="s">
        <v>20</v>
      </c>
      <c r="I7" s="12" t="s">
        <v>21</v>
      </c>
      <c r="J7" s="13">
        <f>IF(modo="Cargar datos",bin,bcalc)</f>
        <v>1.3</v>
      </c>
      <c r="K7" s="9" t="s">
        <v>17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3">
      <c r="A8" s="1"/>
      <c r="B8" s="10"/>
      <c r="C8" s="3"/>
      <c r="D8" s="9"/>
      <c r="E8" s="9"/>
      <c r="F8" s="4"/>
      <c r="G8" s="10"/>
      <c r="H8" s="1" t="s">
        <v>22</v>
      </c>
      <c r="I8" s="1" t="s">
        <v>23</v>
      </c>
      <c r="J8" s="13">
        <f>IF(modo="Cargar datos",tin,tcalc)</f>
        <v>1.7</v>
      </c>
      <c r="K8" s="6" t="s">
        <v>17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15" t="s">
        <v>24</v>
      </c>
      <c r="B9" s="16" t="s">
        <v>1</v>
      </c>
      <c r="C9" s="17"/>
      <c r="D9" s="18"/>
      <c r="E9" s="78" t="s">
        <v>25</v>
      </c>
      <c r="F9" s="79"/>
      <c r="G9" s="80"/>
      <c r="H9" s="1" t="s">
        <v>26</v>
      </c>
      <c r="I9" s="1" t="s">
        <v>27</v>
      </c>
      <c r="J9" s="13">
        <f>fst</f>
        <v>0.70814949597986565</v>
      </c>
      <c r="K9" s="12" t="str">
        <f>IF(J9&gt;C15,"Verifica✓✓","☠No Verifica☠")</f>
        <v>☠No Verifica☠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3">
      <c r="A10" s="19" t="s">
        <v>28</v>
      </c>
      <c r="B10" s="10" t="s">
        <v>29</v>
      </c>
      <c r="C10" s="20">
        <v>1.7</v>
      </c>
      <c r="D10" s="21" t="s">
        <v>17</v>
      </c>
      <c r="E10" s="22" t="s">
        <v>30</v>
      </c>
      <c r="F10" s="23">
        <f>he+dmf</f>
        <v>1.7</v>
      </c>
      <c r="G10" s="24" t="s">
        <v>17</v>
      </c>
      <c r="H10" s="1" t="s">
        <v>31</v>
      </c>
      <c r="I10" s="1" t="s">
        <v>32</v>
      </c>
      <c r="J10" s="13">
        <f>fsl</f>
        <v>0.68810752911251094</v>
      </c>
      <c r="K10" s="12" t="str">
        <f>IF(fsl&gt;fsadm,"Verifica✓✓","☠No Verifica☠")</f>
        <v>☠No Verifica☠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3">
      <c r="A11" s="19" t="s">
        <v>33</v>
      </c>
      <c r="B11" s="10" t="s">
        <v>34</v>
      </c>
      <c r="C11" s="20">
        <v>1.3</v>
      </c>
      <c r="D11" s="21" t="s">
        <v>17</v>
      </c>
      <c r="E11" s="22" t="s">
        <v>35</v>
      </c>
      <c r="F11" s="23">
        <f>IF(orientacion="Colineal",2*dmol+spc+pp*h+2*dml,dmol+2*dml)</f>
        <v>0.89999999999999991</v>
      </c>
      <c r="G11" s="24" t="s">
        <v>17</v>
      </c>
      <c r="H11" s="1" t="s">
        <v>36</v>
      </c>
      <c r="I11" s="1" t="s">
        <v>37</v>
      </c>
      <c r="J11" s="25">
        <f>tan_alfa1t</f>
        <v>8.3388003873100783E-4</v>
      </c>
      <c r="K11" s="12" t="str">
        <f>IF(J11&lt;tg_alfa_adm,"Verifica✓✓","☠No Verifica☠")</f>
        <v>Verifica✓✓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3">
      <c r="A12" s="26" t="s">
        <v>38</v>
      </c>
      <c r="B12" s="27" t="s">
        <v>39</v>
      </c>
      <c r="C12" s="20">
        <v>1.3</v>
      </c>
      <c r="D12" s="28" t="s">
        <v>17</v>
      </c>
      <c r="E12" s="29" t="s">
        <v>40</v>
      </c>
      <c r="F12" s="30">
        <f>IF(orientacion="Transversal",2*dmol+spc+pp*h+2*dml,dmol+2*dml)</f>
        <v>0.89999999999999991</v>
      </c>
      <c r="G12" s="31" t="s">
        <v>17</v>
      </c>
      <c r="H12" s="1" t="s">
        <v>41</v>
      </c>
      <c r="I12" s="1" t="s">
        <v>42</v>
      </c>
      <c r="J12" s="25">
        <f>tan_alfa2t</f>
        <v>9.3363250325404433E-4</v>
      </c>
      <c r="K12" s="12" t="str">
        <f>IF(J12&lt;tg_alfa_adm,"Verifica✓✓","☠No Verifica☠")</f>
        <v>Verifica✓✓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3">
      <c r="A13" s="6"/>
      <c r="B13" s="10"/>
      <c r="C13" s="3"/>
      <c r="D13" s="9"/>
      <c r="E13" s="9"/>
      <c r="F13" s="6"/>
      <c r="G13" s="10"/>
      <c r="H13" s="1" t="s">
        <v>43</v>
      </c>
      <c r="I13" s="1" t="s">
        <v>44</v>
      </c>
      <c r="J13" s="25">
        <f>tan_alfa1l</f>
        <v>8.3388003873100783E-4</v>
      </c>
      <c r="K13" s="12" t="str">
        <f>IF(J13&lt;tg_alfa_adm,"Verifica✓✓","☠No Verifica☠")</f>
        <v>Verifica✓✓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3">
      <c r="A14" s="32" t="s">
        <v>45</v>
      </c>
      <c r="B14" s="33"/>
      <c r="C14" s="34"/>
      <c r="D14" s="35"/>
      <c r="E14" s="9"/>
      <c r="F14" s="6"/>
      <c r="G14" s="10"/>
      <c r="H14" s="1" t="s">
        <v>46</v>
      </c>
      <c r="I14" s="1" t="s">
        <v>47</v>
      </c>
      <c r="J14" s="25">
        <f>tan_alfa2l</f>
        <v>9.3363250325404433E-4</v>
      </c>
      <c r="K14" s="12" t="str">
        <f>IF(J14&lt;tg_alfa_adm,"Verifica✓✓","☠No Verifica☠")</f>
        <v>Verifica✓✓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19" t="s">
        <v>48</v>
      </c>
      <c r="B15" s="10" t="s">
        <v>49</v>
      </c>
      <c r="C15" s="20">
        <v>1.5</v>
      </c>
      <c r="D15" s="21" t="s">
        <v>50</v>
      </c>
      <c r="E15" s="9"/>
      <c r="F15" s="6" t="s">
        <v>51</v>
      </c>
      <c r="G15" s="10" t="s">
        <v>52</v>
      </c>
      <c r="H15" s="1" t="s">
        <v>53</v>
      </c>
      <c r="I15" s="12" t="s">
        <v>54</v>
      </c>
      <c r="J15" s="25">
        <f>relsigma</f>
        <v>0.17507917223442054</v>
      </c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19" t="s">
        <v>55</v>
      </c>
      <c r="B16" s="10" t="s">
        <v>56</v>
      </c>
      <c r="C16" s="20">
        <v>0.01</v>
      </c>
      <c r="D16" s="21" t="s">
        <v>50</v>
      </c>
      <c r="E16" s="9"/>
      <c r="F16" s="6" t="s">
        <v>57</v>
      </c>
      <c r="G16" s="10" t="s">
        <v>58</v>
      </c>
      <c r="H16" s="1" t="s">
        <v>59</v>
      </c>
      <c r="I16" s="1" t="s">
        <v>60</v>
      </c>
      <c r="J16" s="3">
        <f>vhor</f>
        <v>2.5498313586776109</v>
      </c>
      <c r="K16" s="6" t="s">
        <v>61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3">
      <c r="A17" s="19" t="s">
        <v>62</v>
      </c>
      <c r="B17" s="10" t="s">
        <v>63</v>
      </c>
      <c r="C17" s="36">
        <v>1.25</v>
      </c>
      <c r="D17" s="21"/>
      <c r="E17" s="9"/>
      <c r="F17" s="6"/>
      <c r="G17" s="10"/>
      <c r="H17" s="1"/>
      <c r="I17" s="1"/>
      <c r="J17" s="3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26" t="s">
        <v>64</v>
      </c>
      <c r="B18" s="27" t="s">
        <v>65</v>
      </c>
      <c r="C18" s="37">
        <v>1.33</v>
      </c>
      <c r="D18" s="28" t="s">
        <v>50</v>
      </c>
      <c r="E18" s="9"/>
      <c r="F18" s="6" t="s">
        <v>57</v>
      </c>
      <c r="G18" s="10" t="s">
        <v>65</v>
      </c>
      <c r="H18" s="1" t="s">
        <v>66</v>
      </c>
      <c r="I18" s="1" t="s">
        <v>63</v>
      </c>
      <c r="J18" s="38">
        <f>t/he</f>
        <v>1.1333333333333333</v>
      </c>
      <c r="K18" s="12" t="str">
        <f>IF(t_he&lt;t_he_req,"Verifica✓✓","☠No Verifica☠")</f>
        <v>Verifica✓✓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1"/>
      <c r="B19" s="10"/>
      <c r="C19" s="3"/>
      <c r="D19" s="9"/>
      <c r="E19" s="9"/>
      <c r="F19" s="6"/>
      <c r="G19" s="10"/>
      <c r="H19" s="1"/>
      <c r="I19" s="6"/>
      <c r="J19" s="2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3">
      <c r="A20" s="32" t="s">
        <v>67</v>
      </c>
      <c r="B20" s="33"/>
      <c r="C20" s="34"/>
      <c r="D20" s="35"/>
      <c r="E20" s="9"/>
      <c r="F20" s="6"/>
      <c r="G20" s="10"/>
      <c r="H20" s="1"/>
      <c r="I20" s="6"/>
      <c r="J20" s="2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19" t="s">
        <v>68</v>
      </c>
      <c r="B21" s="10" t="s">
        <v>69</v>
      </c>
      <c r="C21" s="39">
        <f>5*100*100*100</f>
        <v>5000000</v>
      </c>
      <c r="D21" s="21" t="s">
        <v>70</v>
      </c>
      <c r="E21" s="9"/>
      <c r="F21" s="6" t="s">
        <v>71</v>
      </c>
      <c r="G21" s="10" t="s">
        <v>72</v>
      </c>
      <c r="H21" s="1"/>
      <c r="I21" s="6"/>
      <c r="J21" s="2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19" t="s">
        <v>73</v>
      </c>
      <c r="B22" s="10" t="s">
        <v>74</v>
      </c>
      <c r="C22" s="40">
        <f>5*100*100</f>
        <v>50000</v>
      </c>
      <c r="D22" s="21" t="s">
        <v>75</v>
      </c>
      <c r="E22" s="9"/>
      <c r="F22" s="6" t="s">
        <v>71</v>
      </c>
      <c r="G22" s="10"/>
      <c r="H22" s="1"/>
      <c r="I22" s="6"/>
      <c r="J22" s="2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19" t="s">
        <v>76</v>
      </c>
      <c r="B23" s="10" t="s">
        <v>77</v>
      </c>
      <c r="C23" s="20">
        <v>8</v>
      </c>
      <c r="D23" s="21" t="s">
        <v>78</v>
      </c>
      <c r="E23" s="9"/>
      <c r="F23" s="6" t="s">
        <v>71</v>
      </c>
      <c r="G23" s="10"/>
      <c r="H23" s="1"/>
      <c r="I23" s="41"/>
      <c r="J23" s="22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26" t="s">
        <v>79</v>
      </c>
      <c r="B24" s="27" t="s">
        <v>80</v>
      </c>
      <c r="C24" s="37">
        <v>0.4</v>
      </c>
      <c r="D24" s="28" t="s">
        <v>50</v>
      </c>
      <c r="E24" s="9"/>
      <c r="F24" s="6" t="s">
        <v>71</v>
      </c>
      <c r="G24" s="10"/>
      <c r="H24" s="1" t="s">
        <v>34</v>
      </c>
      <c r="I24" s="42">
        <f>IF(tipo="cuadrada",amin,MAX(amin,bmin))</f>
        <v>0.89999999999999991</v>
      </c>
      <c r="J24" s="2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6"/>
      <c r="B25" s="10"/>
      <c r="C25" s="3"/>
      <c r="D25" s="9"/>
      <c r="E25" s="9"/>
      <c r="F25" s="6"/>
      <c r="G25" s="10"/>
      <c r="H25" s="1" t="s">
        <v>39</v>
      </c>
      <c r="I25" s="42">
        <f>IF(tipo="cuadrada",bmin,MAX(amin,bmin))</f>
        <v>0.89999999999999991</v>
      </c>
      <c r="J25" s="2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32" t="s">
        <v>81</v>
      </c>
      <c r="B26" s="33"/>
      <c r="C26" s="34"/>
      <c r="D26" s="35"/>
      <c r="E26" s="9"/>
      <c r="F26" s="6"/>
      <c r="G26" s="10"/>
      <c r="H26" s="1"/>
      <c r="I26" s="1"/>
      <c r="J26" s="2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19" t="s">
        <v>82</v>
      </c>
      <c r="B27" s="10" t="s">
        <v>83</v>
      </c>
      <c r="C27" s="20">
        <v>4680</v>
      </c>
      <c r="D27" s="21" t="s">
        <v>84</v>
      </c>
      <c r="E27" s="9"/>
      <c r="F27" s="6"/>
      <c r="G27" s="10"/>
      <c r="H27" s="1"/>
      <c r="I27" s="6"/>
      <c r="J27" s="2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19" t="s">
        <v>85</v>
      </c>
      <c r="B28" s="10" t="s">
        <v>86</v>
      </c>
      <c r="C28" s="20">
        <v>1030</v>
      </c>
      <c r="D28" s="21" t="s">
        <v>87</v>
      </c>
      <c r="E28" s="9"/>
      <c r="F28" s="6"/>
      <c r="G28" s="10"/>
      <c r="H28" s="1"/>
      <c r="I28" s="6"/>
      <c r="J28" s="22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19" t="s">
        <v>88</v>
      </c>
      <c r="B29" s="10" t="s">
        <v>89</v>
      </c>
      <c r="C29" s="20">
        <v>1060</v>
      </c>
      <c r="D29" s="21" t="s">
        <v>87</v>
      </c>
      <c r="E29" s="9"/>
      <c r="F29" s="6"/>
      <c r="G29" s="10"/>
      <c r="H29" s="1"/>
      <c r="I29" s="12"/>
      <c r="J29" s="22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19" t="s">
        <v>90</v>
      </c>
      <c r="B30" s="10" t="s">
        <v>91</v>
      </c>
      <c r="C30" s="20">
        <v>15</v>
      </c>
      <c r="D30" s="21" t="s">
        <v>17</v>
      </c>
      <c r="E30" s="9"/>
      <c r="F30" s="6"/>
      <c r="G30" s="10"/>
      <c r="H30" s="1"/>
      <c r="I30" s="12"/>
      <c r="J30" s="22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19" t="s">
        <v>92</v>
      </c>
      <c r="B31" s="10" t="s">
        <v>93</v>
      </c>
      <c r="C31" s="43">
        <f>C30*0.9</f>
        <v>13.5</v>
      </c>
      <c r="D31" s="21" t="s">
        <v>17</v>
      </c>
      <c r="E31" s="9"/>
      <c r="F31" s="6"/>
      <c r="G31" s="10"/>
      <c r="H31" s="1"/>
      <c r="I31" s="1"/>
      <c r="J31" s="22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19" t="s">
        <v>94</v>
      </c>
      <c r="B32" s="10" t="s">
        <v>95</v>
      </c>
      <c r="C32" s="43">
        <f>C30*0.1</f>
        <v>1.5</v>
      </c>
      <c r="D32" s="21" t="s">
        <v>17</v>
      </c>
      <c r="E32" s="9"/>
      <c r="F32" s="6"/>
      <c r="G32" s="10"/>
      <c r="H32" s="1"/>
      <c r="I32" s="1"/>
      <c r="J32" s="22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19" t="s">
        <v>96</v>
      </c>
      <c r="B33" s="10" t="s">
        <v>97</v>
      </c>
      <c r="C33" s="20">
        <v>0.31</v>
      </c>
      <c r="D33" s="21" t="s">
        <v>17</v>
      </c>
      <c r="E33" s="9"/>
      <c r="F33" s="6"/>
      <c r="G33" s="10"/>
      <c r="H33" s="1"/>
      <c r="I33" s="6"/>
      <c r="J33" s="2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19" t="s">
        <v>98</v>
      </c>
      <c r="B34" s="10" t="s">
        <v>99</v>
      </c>
      <c r="C34" s="20">
        <v>0.15</v>
      </c>
      <c r="D34" s="21" t="s">
        <v>17</v>
      </c>
      <c r="E34" s="9"/>
      <c r="F34" s="6"/>
      <c r="G34" s="10"/>
      <c r="H34" s="1"/>
      <c r="I34" s="6"/>
      <c r="J34" s="22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19" t="s">
        <v>100</v>
      </c>
      <c r="B35" s="10" t="s">
        <v>101</v>
      </c>
      <c r="C35" s="20">
        <v>0.2</v>
      </c>
      <c r="D35" s="21" t="s">
        <v>17</v>
      </c>
      <c r="E35" s="9"/>
      <c r="F35" s="6"/>
      <c r="G35" s="10"/>
      <c r="H35" s="1"/>
      <c r="I35" s="6"/>
      <c r="J35" s="22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19" t="s">
        <v>102</v>
      </c>
      <c r="B36" s="10" t="s">
        <v>103</v>
      </c>
      <c r="C36" s="20">
        <v>0.6</v>
      </c>
      <c r="D36" s="21" t="s">
        <v>17</v>
      </c>
      <c r="E36" s="9"/>
      <c r="F36" s="6"/>
      <c r="G36" s="10"/>
      <c r="H36" s="1"/>
      <c r="I36" s="6"/>
      <c r="J36" s="22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19" t="s">
        <v>104</v>
      </c>
      <c r="B37" s="10" t="s">
        <v>105</v>
      </c>
      <c r="C37" s="20">
        <v>0.3</v>
      </c>
      <c r="D37" s="21" t="s">
        <v>17</v>
      </c>
      <c r="E37" s="9"/>
      <c r="F37" s="6"/>
      <c r="G37" s="10"/>
      <c r="H37" s="1"/>
      <c r="I37" s="6"/>
      <c r="J37" s="22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19" t="s">
        <v>106</v>
      </c>
      <c r="B38" s="10" t="s">
        <v>107</v>
      </c>
      <c r="C38" s="44">
        <v>0.04</v>
      </c>
      <c r="D38" s="21"/>
      <c r="E38" s="9"/>
      <c r="F38" s="6"/>
      <c r="G38" s="10"/>
      <c r="H38" s="1"/>
      <c r="I38" s="6"/>
      <c r="J38" s="22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19" t="s">
        <v>108</v>
      </c>
      <c r="B39" s="10" t="s">
        <v>109</v>
      </c>
      <c r="C39" s="45">
        <v>1.4999999999999999E-2</v>
      </c>
      <c r="D39" s="21"/>
      <c r="E39" s="9"/>
      <c r="F39" s="6"/>
      <c r="G39" s="10"/>
      <c r="H39" s="46"/>
      <c r="I39" s="6"/>
      <c r="J39" s="22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26" t="s">
        <v>110</v>
      </c>
      <c r="B40" s="27" t="s">
        <v>111</v>
      </c>
      <c r="C40" s="47">
        <f>C33+C39*(C31+C32/2)</f>
        <v>0.52374999999999994</v>
      </c>
      <c r="D40" s="28" t="s">
        <v>17</v>
      </c>
      <c r="E40" s="9"/>
      <c r="F40" s="6"/>
      <c r="G40" s="10"/>
      <c r="H40" s="46"/>
      <c r="I40" s="6"/>
      <c r="J40" s="22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10"/>
      <c r="C41" s="3"/>
      <c r="D41" s="9"/>
      <c r="E41" s="9"/>
      <c r="F41" s="6"/>
      <c r="G41" s="10"/>
      <c r="H41" s="1"/>
      <c r="I41" s="6"/>
      <c r="J41" s="22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32" t="s">
        <v>112</v>
      </c>
      <c r="B42" s="33"/>
      <c r="C42" s="34"/>
      <c r="D42" s="35"/>
      <c r="E42" s="9"/>
      <c r="F42" s="6"/>
      <c r="G42" s="10"/>
      <c r="H42" s="1"/>
      <c r="I42" s="6"/>
      <c r="J42" s="2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19" t="s">
        <v>113</v>
      </c>
      <c r="B43" s="48" t="s">
        <v>114</v>
      </c>
      <c r="C43" s="49">
        <v>2200</v>
      </c>
      <c r="D43" s="21" t="s">
        <v>70</v>
      </c>
      <c r="E43" s="9"/>
      <c r="F43" s="6" t="s">
        <v>115</v>
      </c>
      <c r="G43" s="10"/>
      <c r="H43" s="1"/>
      <c r="I43" s="6"/>
      <c r="J43" s="22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19" t="s">
        <v>116</v>
      </c>
      <c r="B44" s="48" t="s">
        <v>117</v>
      </c>
      <c r="C44" s="49">
        <v>3800</v>
      </c>
      <c r="D44" s="21" t="s">
        <v>70</v>
      </c>
      <c r="E44" s="9"/>
      <c r="F44" s="6"/>
      <c r="G44" s="10"/>
      <c r="H44" s="1"/>
      <c r="I44" s="6"/>
      <c r="J44" s="22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26" t="s">
        <v>118</v>
      </c>
      <c r="B45" s="27" t="s">
        <v>119</v>
      </c>
      <c r="C45" s="50">
        <v>1.2</v>
      </c>
      <c r="D45" s="28" t="s">
        <v>50</v>
      </c>
      <c r="E45" s="9"/>
      <c r="F45" s="4"/>
      <c r="G45" s="10"/>
      <c r="H45" s="1"/>
      <c r="I45" s="6"/>
      <c r="J45" s="22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10"/>
      <c r="C46" s="3"/>
      <c r="D46" s="9"/>
      <c r="E46" s="9"/>
      <c r="F46" s="4"/>
      <c r="G46" s="10"/>
      <c r="H46" s="1"/>
      <c r="I46" s="6"/>
      <c r="J46" s="22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32" t="s">
        <v>120</v>
      </c>
      <c r="B47" s="33"/>
      <c r="C47" s="34"/>
      <c r="D47" s="35"/>
      <c r="E47" s="9"/>
      <c r="F47" s="4"/>
      <c r="G47" s="10"/>
      <c r="H47" s="1"/>
      <c r="I47" s="6"/>
      <c r="J47" s="2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26" t="s">
        <v>121</v>
      </c>
      <c r="B48" s="27" t="s">
        <v>122</v>
      </c>
      <c r="C48" s="50">
        <v>0.01</v>
      </c>
      <c r="D48" s="28" t="s">
        <v>17</v>
      </c>
      <c r="E48" s="9"/>
      <c r="F48" s="4"/>
      <c r="G48" s="10"/>
      <c r="H48" s="1"/>
      <c r="I48" s="6"/>
      <c r="J48" s="22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10"/>
      <c r="C49" s="3"/>
      <c r="D49" s="9"/>
      <c r="E49" s="9"/>
      <c r="F49" s="6"/>
      <c r="G49" s="10"/>
      <c r="H49" s="1"/>
      <c r="I49" s="6"/>
      <c r="J49" s="22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1" t="s">
        <v>123</v>
      </c>
      <c r="B50" s="51"/>
      <c r="C50" s="3"/>
      <c r="D50" s="9"/>
      <c r="E50" s="9"/>
      <c r="F50" s="6" t="s">
        <v>124</v>
      </c>
      <c r="G50" s="10"/>
      <c r="H50" s="1"/>
      <c r="I50" s="6"/>
      <c r="J50" s="22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1" t="s">
        <v>125</v>
      </c>
      <c r="B51" s="10"/>
      <c r="C51" s="3"/>
      <c r="D51" s="9"/>
      <c r="E51" s="9"/>
      <c r="F51" s="6"/>
      <c r="G51" s="10"/>
      <c r="H51" s="1"/>
      <c r="I51" s="6"/>
      <c r="J51" s="22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52" t="s">
        <v>126</v>
      </c>
      <c r="B52" s="53" t="s">
        <v>60</v>
      </c>
      <c r="C52" s="54">
        <f t="array" ref="C52">a*b*t-(0.25*PI()*dmed^2)*he*np</f>
        <v>2.5498313586776109</v>
      </c>
      <c r="D52" s="55" t="s">
        <v>61</v>
      </c>
      <c r="E52" s="55"/>
      <c r="F52" s="52" t="s">
        <v>127</v>
      </c>
      <c r="G52" s="53" t="s">
        <v>128</v>
      </c>
      <c r="H52" s="56"/>
      <c r="I52" s="52"/>
      <c r="J52" s="57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5.75" customHeight="1" x14ac:dyDescent="0.3">
      <c r="A53" s="6" t="s">
        <v>129</v>
      </c>
      <c r="B53" s="10" t="s">
        <v>130</v>
      </c>
      <c r="C53" s="3">
        <f>vhor*yhor</f>
        <v>5609.6289890907437</v>
      </c>
      <c r="D53" s="9" t="s">
        <v>84</v>
      </c>
      <c r="E53" s="9"/>
      <c r="F53" s="6"/>
      <c r="G53" s="10"/>
      <c r="H53" s="1"/>
      <c r="I53" s="6"/>
      <c r="J53" s="2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 t="s">
        <v>131</v>
      </c>
      <c r="B54" s="10" t="s">
        <v>132</v>
      </c>
      <c r="C54" s="3">
        <f>2*t*TAN(RADIANS(beta))</f>
        <v>0.47783883798813093</v>
      </c>
      <c r="D54" s="9"/>
      <c r="E54" s="9"/>
      <c r="F54" s="6"/>
      <c r="G54" s="10"/>
      <c r="H54" s="1"/>
      <c r="I54" s="6"/>
      <c r="J54" s="22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 t="s">
        <v>133</v>
      </c>
      <c r="B55" s="10" t="s">
        <v>134</v>
      </c>
      <c r="C55" s="3">
        <f>J8/3*((J6*J7+(J6+C54)*(J7+C54))+SQRT(J6*J7*(J6+C54)*(J7+C54)))-J6*J7*J8</f>
        <v>1.1854108065046827</v>
      </c>
      <c r="D55" s="9" t="s">
        <v>61</v>
      </c>
      <c r="E55" s="9"/>
      <c r="F55" s="6" t="s">
        <v>135</v>
      </c>
      <c r="G55" s="10"/>
      <c r="H55" s="1"/>
      <c r="I55" s="6"/>
      <c r="J55" s="22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 t="s">
        <v>136</v>
      </c>
      <c r="B56" s="10" t="s">
        <v>137</v>
      </c>
      <c r="C56" s="3">
        <f>vtg*ytierra</f>
        <v>4504.5610647177946</v>
      </c>
      <c r="D56" s="9" t="s">
        <v>84</v>
      </c>
      <c r="E56" s="9"/>
      <c r="F56" s="6"/>
      <c r="G56" s="10"/>
      <c r="H56" s="1"/>
      <c r="I56" s="6"/>
      <c r="J56" s="2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58" t="s">
        <v>138</v>
      </c>
      <c r="B57" s="59" t="s">
        <v>139</v>
      </c>
      <c r="C57" s="60">
        <f>gtg+gp+ghor</f>
        <v>14794.190053808539</v>
      </c>
      <c r="D57" s="61" t="s">
        <v>84</v>
      </c>
      <c r="E57" s="61"/>
      <c r="F57" s="58"/>
      <c r="G57" s="59" t="s">
        <v>140</v>
      </c>
      <c r="H57" s="62"/>
      <c r="I57" s="58"/>
      <c r="J57" s="63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 x14ac:dyDescent="0.3">
      <c r="A58" s="1"/>
      <c r="B58" s="10"/>
      <c r="C58" s="3"/>
      <c r="D58" s="9"/>
      <c r="E58" s="9"/>
      <c r="F58" s="6"/>
      <c r="G58" s="10"/>
      <c r="H58" s="1"/>
      <c r="I58" s="6"/>
      <c r="J58" s="22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1" t="s">
        <v>141</v>
      </c>
      <c r="B59" s="10"/>
      <c r="C59" s="3"/>
      <c r="D59" s="9"/>
      <c r="E59" s="9"/>
      <c r="F59" s="6"/>
      <c r="G59" s="10" t="s">
        <v>142</v>
      </c>
      <c r="H59" s="1"/>
      <c r="I59" s="6"/>
      <c r="J59" s="2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52" t="s">
        <v>36</v>
      </c>
      <c r="B60" s="53" t="s">
        <v>143</v>
      </c>
      <c r="C60" s="64">
        <f>IF(tipo="Cuadrada",6*mu*G/(b*t^2*c_*t),IF(tipo="Rombica",4.5*mu*G/(b*t^2*c_*t),"error"))</f>
        <v>8.3388003873100783E-4</v>
      </c>
      <c r="D60" s="55"/>
      <c r="E60" s="55"/>
      <c r="F60" s="52"/>
      <c r="G60" s="52" t="s">
        <v>144</v>
      </c>
      <c r="H60" s="56"/>
      <c r="I60" s="52"/>
      <c r="J60" s="57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5.75" customHeight="1" x14ac:dyDescent="0.3">
      <c r="A61" s="6" t="s">
        <v>41</v>
      </c>
      <c r="B61" s="10" t="s">
        <v>145</v>
      </c>
      <c r="C61" s="65">
        <f>IF(tipo="Cuadrada",2*G/(a^2*b*c_*cacb*t),IF(tipo="Rombica",SQRT(2)*G/(a^2*b*c_*cacb*t),"error"))</f>
        <v>9.3363250325404433E-4</v>
      </c>
      <c r="D61" s="9"/>
      <c r="E61" s="9"/>
      <c r="F61" s="6"/>
      <c r="G61" s="6" t="s">
        <v>146</v>
      </c>
      <c r="H61" s="1"/>
      <c r="I61" s="6"/>
      <c r="J61" s="22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52" t="s">
        <v>43</v>
      </c>
      <c r="B62" s="53" t="s">
        <v>147</v>
      </c>
      <c r="C62" s="64">
        <f>IF(tipo="Cuadrada",6*mu*G/(a*t^2*c_*t),IF(tipo="Rombica",4.5*mu*G/(a*t^2*c_*t),"error"))</f>
        <v>8.3388003873100783E-4</v>
      </c>
      <c r="D62" s="9"/>
      <c r="E62" s="9"/>
      <c r="F62" s="6"/>
      <c r="G62" s="6" t="s">
        <v>148</v>
      </c>
      <c r="H62" s="1"/>
      <c r="I62" s="6"/>
      <c r="J62" s="2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 t="s">
        <v>149</v>
      </c>
      <c r="B63" s="10" t="s">
        <v>150</v>
      </c>
      <c r="C63" s="65">
        <f>IF(tipo="Cuadrada",2*G/(b^2*a*c_*cacb*t),IF(tipo="Rombica",SQRT(2)*G/(b^2*a*c_*cacb*t),"error"))</f>
        <v>9.3363250325404433E-4</v>
      </c>
      <c r="D63" s="9"/>
      <c r="E63" s="9"/>
      <c r="F63" s="6"/>
      <c r="G63" s="6" t="s">
        <v>148</v>
      </c>
      <c r="H63" s="1"/>
      <c r="I63" s="6"/>
      <c r="J63" s="22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10"/>
      <c r="C64" s="3"/>
      <c r="D64" s="9"/>
      <c r="E64" s="9"/>
      <c r="F64" s="6"/>
      <c r="G64" s="6"/>
      <c r="H64" s="1"/>
      <c r="I64" s="6"/>
      <c r="J64" s="22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6" t="s">
        <v>151</v>
      </c>
      <c r="B65" s="67"/>
      <c r="C65" s="68"/>
      <c r="D65" s="69"/>
      <c r="E65" s="69"/>
      <c r="F65" s="70"/>
      <c r="G65" s="67"/>
      <c r="H65" s="66"/>
      <c r="I65" s="70"/>
      <c r="J65" s="71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5.75" customHeight="1" x14ac:dyDescent="0.3">
      <c r="A66" s="6" t="s">
        <v>152</v>
      </c>
      <c r="B66" s="10" t="s">
        <v>153</v>
      </c>
      <c r="C66" s="3">
        <f>IF(tipo="Cuadrada",b*t^3*c_*t*tan_alfa1t/12,IF(tipo="Rombica",SQRT(2)*b*t^3*c_*t*tan_alfa1t/12,"error"))</f>
        <v>5335.1467756974016</v>
      </c>
      <c r="D66" s="9" t="s">
        <v>154</v>
      </c>
      <c r="E66" s="9"/>
      <c r="F66" s="6" t="s">
        <v>155</v>
      </c>
      <c r="G66" s="10"/>
      <c r="H66" s="1"/>
      <c r="I66" s="6"/>
      <c r="J66" s="2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 t="s">
        <v>156</v>
      </c>
      <c r="B67" s="10" t="s">
        <v>157</v>
      </c>
      <c r="C67" s="3">
        <f>IF(tipo="Cuadrada",b*a^3*c_*t*cacb*tan_alfa2t/12,IF(tipo="Rombica",SQRT(2)*b*a^3*c_*t*cacb*tan_alfa2t/12,"error"))</f>
        <v>3205.4078449918507</v>
      </c>
      <c r="D67" s="9" t="s">
        <v>154</v>
      </c>
      <c r="E67" s="9"/>
      <c r="F67" s="6" t="s">
        <v>158</v>
      </c>
      <c r="G67" s="10"/>
      <c r="H67" s="1"/>
      <c r="I67" s="6"/>
      <c r="J67" s="22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 t="s">
        <v>159</v>
      </c>
      <c r="B68" s="10" t="s">
        <v>160</v>
      </c>
      <c r="C68" s="3">
        <f t="array" ref="C68">IF(tipo="Cuadrada",a*t^3*c_*t*tan_alfa1l/12,IF(tipo="Rombica",SQRT(2)*a*t^3*c_*t*tan_alfa1l/12,"error"))</f>
        <v>5335.1467756974016</v>
      </c>
      <c r="D68" s="9" t="s">
        <v>154</v>
      </c>
      <c r="E68" s="9"/>
      <c r="F68" s="6" t="s">
        <v>161</v>
      </c>
      <c r="G68" s="6"/>
      <c r="H68" s="1"/>
      <c r="I68" s="6"/>
      <c r="J68" s="22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 t="s">
        <v>162</v>
      </c>
      <c r="B69" s="10" t="s">
        <v>163</v>
      </c>
      <c r="C69" s="3">
        <f>IF(tipo="Cuadrada",a*b^3*c_*t*cacb*tan_alfa2l/12,IF(tipo="Rombica",SQRT(2)*a*b^3*c_*t*cacb*tan_alfa2l/12,"error"))</f>
        <v>3205.4078449918507</v>
      </c>
      <c r="D69" s="9" t="s">
        <v>154</v>
      </c>
      <c r="E69" s="9"/>
      <c r="F69" s="6" t="s">
        <v>164</v>
      </c>
      <c r="G69" s="6"/>
      <c r="H69" s="1"/>
      <c r="I69" s="6"/>
      <c r="J69" s="22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 t="s">
        <v>165</v>
      </c>
      <c r="B70" s="10" t="s">
        <v>166</v>
      </c>
      <c r="C70" s="3">
        <f t="array" ref="C70">mst_1+mbt_1</f>
        <v>8540.5546206892523</v>
      </c>
      <c r="D70" s="9" t="s">
        <v>154</v>
      </c>
      <c r="E70" s="9"/>
      <c r="F70" s="6"/>
      <c r="G70" s="6"/>
      <c r="H70" s="1"/>
      <c r="I70" s="6"/>
      <c r="J70" s="22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 t="s">
        <v>167</v>
      </c>
      <c r="B71" s="10" t="s">
        <v>168</v>
      </c>
      <c r="C71" s="3">
        <f>msl_1+mbl_1</f>
        <v>8540.5546206892523</v>
      </c>
      <c r="D71" s="9" t="s">
        <v>154</v>
      </c>
      <c r="E71" s="9"/>
      <c r="F71" s="6"/>
      <c r="G71" s="6"/>
      <c r="H71" s="1"/>
      <c r="I71" s="6"/>
      <c r="J71" s="22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 t="s">
        <v>169</v>
      </c>
      <c r="B72" s="10" t="s">
        <v>170</v>
      </c>
      <c r="C72" s="3">
        <f>mst_1/mbt_1</f>
        <v>1.6644205772544884</v>
      </c>
      <c r="D72" s="9"/>
      <c r="E72" s="9"/>
      <c r="F72" s="6"/>
      <c r="G72" s="6"/>
      <c r="H72" s="1"/>
      <c r="I72" s="6"/>
      <c r="J72" s="22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 t="s">
        <v>171</v>
      </c>
      <c r="B73" s="10" t="s">
        <v>172</v>
      </c>
      <c r="C73" s="3">
        <f>msl_1/mbl_1</f>
        <v>1.6644205772544884</v>
      </c>
      <c r="D73" s="9"/>
      <c r="E73" s="9"/>
      <c r="F73" s="6"/>
      <c r="G73" s="6"/>
      <c r="H73" s="1"/>
      <c r="I73" s="6"/>
      <c r="J73" s="22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 t="s">
        <v>173</v>
      </c>
      <c r="B74" s="10" t="s">
        <v>174</v>
      </c>
      <c r="C74" s="3">
        <f>IF(AND(relmt_1&gt;0,relmt_1&lt;1),1.48-0.842*relmt_1+ 0.364*relmt_1^2,1)</f>
        <v>1</v>
      </c>
      <c r="D74" s="9"/>
      <c r="E74" s="9"/>
      <c r="F74" s="6"/>
      <c r="G74" s="6"/>
      <c r="H74" s="1"/>
      <c r="I74" s="6"/>
      <c r="J74" s="22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 t="s">
        <v>175</v>
      </c>
      <c r="B75" s="10" t="s">
        <v>176</v>
      </c>
      <c r="C75" s="3">
        <f>IF(AND(relml_1&gt;0,relml_1&lt;1),1.48-0.842*relml_1+ 0.364*relml_1^2,1)</f>
        <v>1</v>
      </c>
      <c r="D75" s="9"/>
      <c r="E75" s="9"/>
      <c r="F75" s="6"/>
      <c r="G75" s="6"/>
      <c r="H75" s="1"/>
      <c r="I75" s="6"/>
      <c r="J75" s="22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 t="s">
        <v>177</v>
      </c>
      <c r="B76" s="10" t="s">
        <v>178</v>
      </c>
      <c r="C76" s="3">
        <f>st_1*ft*(hl+2/3*t)</f>
        <v>15072.333333333332</v>
      </c>
      <c r="D76" s="9" t="s">
        <v>154</v>
      </c>
      <c r="E76" s="9"/>
      <c r="F76" s="6" t="s">
        <v>179</v>
      </c>
      <c r="G76" s="6"/>
      <c r="H76" s="1"/>
      <c r="I76" s="6"/>
      <c r="J76" s="2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 t="s">
        <v>180</v>
      </c>
      <c r="B77" s="10" t="s">
        <v>181</v>
      </c>
      <c r="C77" s="3">
        <f>sl_1*fl*(hl+2/3*t)</f>
        <v>15511.333333333332</v>
      </c>
      <c r="D77" s="9" t="s">
        <v>154</v>
      </c>
      <c r="E77" s="9"/>
      <c r="F77" s="6"/>
      <c r="G77" s="6"/>
      <c r="H77" s="1"/>
      <c r="I77" s="6"/>
      <c r="J77" s="22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10"/>
      <c r="C78" s="3"/>
      <c r="D78" s="9"/>
      <c r="E78" s="9"/>
      <c r="F78" s="6"/>
      <c r="G78" s="6"/>
      <c r="H78" s="1"/>
      <c r="I78" s="6"/>
      <c r="J78" s="22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6" t="s">
        <v>182</v>
      </c>
      <c r="B79" s="67"/>
      <c r="C79" s="68"/>
      <c r="D79" s="69"/>
      <c r="E79" s="69"/>
      <c r="F79" s="70"/>
      <c r="G79" s="67"/>
      <c r="H79" s="66"/>
      <c r="I79" s="70"/>
      <c r="J79" s="71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5.75" customHeight="1" x14ac:dyDescent="0.3">
      <c r="A80" s="6" t="s">
        <v>152</v>
      </c>
      <c r="B80" s="10" t="s">
        <v>153</v>
      </c>
      <c r="C80" s="3">
        <f>IF(tipo="Cuadrada",b*t^3*c_*t*tan_alfa1t/36,IF(tipo="Rombica",SQRT(2)*b*t^3*c_*t*tan_alfa1t/36,"error"))</f>
        <v>1778.3822585658006</v>
      </c>
      <c r="D80" s="9" t="s">
        <v>154</v>
      </c>
      <c r="E80" s="9"/>
      <c r="F80" s="6"/>
      <c r="G80" s="6"/>
      <c r="H80" s="1"/>
      <c r="I80" s="6"/>
      <c r="J80" s="22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 t="s">
        <v>156</v>
      </c>
      <c r="B81" s="10" t="s">
        <v>157</v>
      </c>
      <c r="C81" s="3">
        <f>IF(tipo="Cuadrada",G*(a*0.5-0.47*SQRT(G/(b*c_*cacb*t*tan_alfa2t))),IF(tipo="Rombica",G*(SQRT(2)*0.5*a-0.5*(G*tan_alfa2t/c_*cacb*t)^(1/3)),"error"))</f>
        <v>13467.759067322309</v>
      </c>
      <c r="D81" s="9" t="s">
        <v>154</v>
      </c>
      <c r="E81" s="9"/>
      <c r="F81" s="6"/>
      <c r="G81" s="6"/>
      <c r="H81" s="1"/>
      <c r="I81" s="6"/>
      <c r="J81" s="22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 t="s">
        <v>159</v>
      </c>
      <c r="B82" s="10" t="s">
        <v>160</v>
      </c>
      <c r="C82" s="3">
        <f>IF(tipo="Cuadrada",a*t^3*c_*t*tan_alfa1l/36,IF(tipo="Rombica",SQRT(2)*a*t^3*c_*t*tan_alfa1l/36,"error"))</f>
        <v>1778.3822585658006</v>
      </c>
      <c r="D82" s="9" t="s">
        <v>154</v>
      </c>
      <c r="E82" s="9"/>
      <c r="F82" s="6"/>
      <c r="G82" s="6"/>
      <c r="H82" s="1"/>
      <c r="I82" s="6"/>
      <c r="J82" s="22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 t="s">
        <v>162</v>
      </c>
      <c r="B83" s="10" t="s">
        <v>163</v>
      </c>
      <c r="C83" s="3">
        <f>IF(tipo="Cuadrada",G*(b*0.5-0.47*SQRT(G/(a*c_*cacb*t*tan_alfa2l))),IF(tipo="Rombica",G*(SQRT(2)*0.5*b-0.5*(G*tan_alfa2l/c_*cacb*t)^(1/3)),"error"))</f>
        <v>13467.759067322309</v>
      </c>
      <c r="D83" s="9" t="s">
        <v>154</v>
      </c>
      <c r="E83" s="9"/>
      <c r="F83" s="6"/>
      <c r="G83" s="6"/>
      <c r="H83" s="1"/>
      <c r="I83" s="6"/>
      <c r="J83" s="22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 t="s">
        <v>165</v>
      </c>
      <c r="B84" s="10" t="s">
        <v>166</v>
      </c>
      <c r="C84" s="3">
        <f>mst_2+mbt_2</f>
        <v>15246.141325888109</v>
      </c>
      <c r="D84" s="9" t="s">
        <v>154</v>
      </c>
      <c r="E84" s="9"/>
      <c r="F84" s="6"/>
      <c r="G84" s="6"/>
      <c r="H84" s="1"/>
      <c r="I84" s="6"/>
      <c r="J84" s="22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 t="s">
        <v>167</v>
      </c>
      <c r="B85" s="10" t="s">
        <v>168</v>
      </c>
      <c r="C85" s="3">
        <f>msl_2+mbl_2</f>
        <v>15246.141325888109</v>
      </c>
      <c r="D85" s="9" t="s">
        <v>154</v>
      </c>
      <c r="E85" s="9"/>
      <c r="F85" s="6"/>
      <c r="G85" s="6"/>
      <c r="H85" s="1"/>
      <c r="I85" s="6"/>
      <c r="J85" s="22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 t="s">
        <v>169</v>
      </c>
      <c r="B86" s="10" t="s">
        <v>170</v>
      </c>
      <c r="C86" s="3">
        <f>mst_2/mbt_2</f>
        <v>0.13204737697460031</v>
      </c>
      <c r="D86" s="9"/>
      <c r="E86" s="9"/>
      <c r="F86" s="6"/>
      <c r="G86" s="6"/>
      <c r="H86" s="1"/>
      <c r="I86" s="6"/>
      <c r="J86" s="22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 t="s">
        <v>171</v>
      </c>
      <c r="B87" s="10" t="s">
        <v>172</v>
      </c>
      <c r="C87" s="3">
        <f>msl_2/mbl_2</f>
        <v>0.13204737697460031</v>
      </c>
      <c r="D87" s="9"/>
      <c r="E87" s="9"/>
      <c r="F87" s="6"/>
      <c r="G87" s="6"/>
      <c r="H87" s="1"/>
      <c r="I87" s="6"/>
      <c r="J87" s="22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 t="s">
        <v>173</v>
      </c>
      <c r="B88" s="10" t="s">
        <v>174</v>
      </c>
      <c r="C88" s="3">
        <f t="array" ref="C88">IF(AND(relmt_2&gt;0,relmt_2&lt;1),1.48-0.842*relmt_2+ 0.364*relmt_2^2,1)</f>
        <v>1.375162998142164</v>
      </c>
      <c r="D88" s="9"/>
      <c r="E88" s="9"/>
      <c r="F88" s="6"/>
      <c r="G88" s="6"/>
      <c r="H88" s="1"/>
      <c r="I88" s="6"/>
      <c r="J88" s="22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 t="s">
        <v>175</v>
      </c>
      <c r="B89" s="10" t="s">
        <v>176</v>
      </c>
      <c r="C89" s="3">
        <f>IF(AND(relml_2&gt;0,relml_2&lt;1),1.48-0.842*relml_2+ 0.364*relml_2^2,1)</f>
        <v>1.375162998142164</v>
      </c>
      <c r="D89" s="9"/>
      <c r="E89" s="9"/>
      <c r="F89" s="6"/>
      <c r="G89" s="6"/>
      <c r="H89" s="1"/>
      <c r="I89" s="6"/>
      <c r="J89" s="22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 t="s">
        <v>177</v>
      </c>
      <c r="B90" s="10" t="s">
        <v>178</v>
      </c>
      <c r="C90" s="3">
        <f t="array" ref="C90">st_2*ft*(hl+t)</f>
        <v>21529.55189891372</v>
      </c>
      <c r="D90" s="9" t="s">
        <v>154</v>
      </c>
      <c r="E90" s="9"/>
      <c r="F90" s="6" t="s">
        <v>183</v>
      </c>
      <c r="G90" s="6"/>
      <c r="H90" s="1"/>
      <c r="I90" s="6"/>
      <c r="J90" s="22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 t="s">
        <v>180</v>
      </c>
      <c r="B91" s="10" t="s">
        <v>181</v>
      </c>
      <c r="C91" s="3">
        <f>sl_2*fl*(hl+t)</f>
        <v>22156.626226066546</v>
      </c>
      <c r="D91" s="9" t="s">
        <v>154</v>
      </c>
      <c r="E91" s="9"/>
      <c r="F91" s="6"/>
      <c r="G91" s="6"/>
      <c r="H91" s="1"/>
      <c r="I91" s="6"/>
      <c r="J91" s="22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10"/>
      <c r="C92" s="3"/>
      <c r="D92" s="9"/>
      <c r="E92" s="9"/>
      <c r="F92" s="6"/>
      <c r="G92" s="10"/>
      <c r="H92" s="1"/>
      <c r="I92" s="6"/>
      <c r="J92" s="22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10"/>
      <c r="C93" s="3"/>
      <c r="D93" s="9"/>
      <c r="E93" s="9"/>
      <c r="F93" s="6"/>
      <c r="G93" s="10"/>
      <c r="H93" s="1"/>
      <c r="I93" s="6"/>
      <c r="J93" s="22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6" t="s">
        <v>184</v>
      </c>
      <c r="B94" s="67"/>
      <c r="C94" s="68"/>
      <c r="D94" s="69"/>
      <c r="E94" s="69"/>
      <c r="F94" s="70"/>
      <c r="G94" s="67"/>
      <c r="H94" s="66"/>
      <c r="I94" s="70"/>
      <c r="J94" s="71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5.75" customHeight="1" x14ac:dyDescent="0.3">
      <c r="A95" s="6" t="s">
        <v>185</v>
      </c>
      <c r="B95" s="10" t="s">
        <v>186</v>
      </c>
      <c r="C95" s="72">
        <f>IF(tan_alfa1t&gt;tg_alfa_adm,1,2)</f>
        <v>2</v>
      </c>
      <c r="D95" s="9"/>
      <c r="E95" s="9"/>
      <c r="F95" s="6"/>
      <c r="G95" s="10"/>
      <c r="H95" s="1"/>
      <c r="I95" s="6"/>
      <c r="J95" s="22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 t="s">
        <v>187</v>
      </c>
      <c r="B96" s="10" t="s">
        <v>188</v>
      </c>
      <c r="C96" s="72">
        <f>IF(tan_alfa2t&gt;tg_alfa_adm,1,2)</f>
        <v>2</v>
      </c>
      <c r="D96" s="9"/>
      <c r="E96" s="9"/>
      <c r="F96" s="6"/>
      <c r="G96" s="10"/>
      <c r="H96" s="1"/>
      <c r="I96" s="6"/>
      <c r="J96" s="22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 t="s">
        <v>189</v>
      </c>
      <c r="B97" s="10" t="s">
        <v>190</v>
      </c>
      <c r="C97" s="72">
        <f>MIN(C95:C96)</f>
        <v>2</v>
      </c>
      <c r="D97" s="9"/>
      <c r="E97" s="9"/>
      <c r="F97" s="6"/>
      <c r="G97" s="10"/>
      <c r="H97" s="1"/>
      <c r="I97" s="6"/>
      <c r="J97" s="22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 t="s">
        <v>191</v>
      </c>
      <c r="B98" s="10" t="s">
        <v>192</v>
      </c>
      <c r="C98" s="72">
        <f>IF(tan_alfa1l&gt;tg_alfa_adm,1,2)</f>
        <v>2</v>
      </c>
      <c r="D98" s="9"/>
      <c r="E98" s="9"/>
      <c r="F98" s="6"/>
      <c r="G98" s="6"/>
      <c r="H98" s="1"/>
      <c r="I98" s="6"/>
      <c r="J98" s="22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 t="s">
        <v>193</v>
      </c>
      <c r="B99" s="10" t="s">
        <v>194</v>
      </c>
      <c r="C99" s="72">
        <f>IF(tan_alfa2l&gt;tg_alfa_adm,1,2)</f>
        <v>2</v>
      </c>
      <c r="D99" s="9"/>
      <c r="E99" s="9"/>
      <c r="F99" s="6"/>
      <c r="G99" s="6"/>
      <c r="H99" s="1"/>
      <c r="I99" s="6"/>
      <c r="J99" s="22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 t="s">
        <v>195</v>
      </c>
      <c r="B100" s="10" t="s">
        <v>196</v>
      </c>
      <c r="C100" s="72">
        <f>MIN(C98:C99)</f>
        <v>2</v>
      </c>
      <c r="D100" s="9"/>
      <c r="E100" s="9"/>
      <c r="F100" s="6"/>
      <c r="G100" s="6"/>
      <c r="H100" s="1"/>
      <c r="I100" s="6"/>
      <c r="J100" s="2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 t="s">
        <v>197</v>
      </c>
      <c r="B101" s="10" t="s">
        <v>198</v>
      </c>
      <c r="C101" s="3">
        <f>IF(ft&gt;0,IF(caso_t=2,mot_2/mvt_2,mot_1/mvt_1),"No Aplica")</f>
        <v>0.70814949597986565</v>
      </c>
      <c r="D101" s="9"/>
      <c r="E101" s="9"/>
      <c r="F101" s="6"/>
      <c r="G101" s="6"/>
      <c r="H101" s="1"/>
      <c r="I101" s="6"/>
      <c r="J101" s="2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 t="s">
        <v>199</v>
      </c>
      <c r="B102" s="10" t="s">
        <v>200</v>
      </c>
      <c r="C102" s="3">
        <f>IF(fl&gt;0,IF(caso_l=2,mol_2/mvl_2,mol_1/mvl_1),"No Aplica")</f>
        <v>0.68810752911251094</v>
      </c>
      <c r="D102" s="9"/>
      <c r="E102" s="9"/>
      <c r="F102" s="6"/>
      <c r="G102" s="6"/>
      <c r="H102" s="1"/>
      <c r="I102" s="6"/>
      <c r="J102" s="2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 t="s">
        <v>201</v>
      </c>
      <c r="B103" s="10" t="s">
        <v>63</v>
      </c>
      <c r="C103" s="3">
        <f>t/he</f>
        <v>1.1333333333333333</v>
      </c>
      <c r="D103" s="9"/>
      <c r="E103" s="9"/>
      <c r="F103" s="6"/>
      <c r="G103" s="6"/>
      <c r="H103" s="1"/>
      <c r="I103" s="6"/>
      <c r="J103" s="22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 t="s">
        <v>202</v>
      </c>
      <c r="B104" s="10" t="s">
        <v>203</v>
      </c>
      <c r="C104" s="3">
        <f>G/(a*b)</f>
        <v>8753.9586117210274</v>
      </c>
      <c r="D104" s="9" t="s">
        <v>75</v>
      </c>
      <c r="E104" s="9"/>
      <c r="F104" s="6"/>
      <c r="G104" s="6"/>
      <c r="H104" s="1"/>
      <c r="I104" s="6"/>
      <c r="J104" s="22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 t="s">
        <v>204</v>
      </c>
      <c r="B105" s="10" t="s">
        <v>54</v>
      </c>
      <c r="C105" s="3">
        <f>sigma_1/sigma_adm</f>
        <v>0.17507917223442054</v>
      </c>
      <c r="D105" s="9"/>
      <c r="E105" s="9"/>
      <c r="F105" s="6"/>
      <c r="G105" s="6"/>
      <c r="H105" s="1"/>
      <c r="I105" s="6"/>
      <c r="J105" s="22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 t="s">
        <v>205</v>
      </c>
      <c r="B106" s="10" t="s">
        <v>206</v>
      </c>
      <c r="C106" s="3" t="b">
        <f>IF(t_he&gt;0.99*t_he_req,TRUE,FALSE)</f>
        <v>0</v>
      </c>
      <c r="D106" s="9"/>
      <c r="E106" s="9"/>
      <c r="F106" s="6"/>
      <c r="G106" s="6"/>
      <c r="H106" s="1"/>
      <c r="I106" s="6"/>
      <c r="J106" s="22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 t="s">
        <v>207</v>
      </c>
      <c r="B107" s="10" t="s">
        <v>208</v>
      </c>
      <c r="C107" s="3" t="b">
        <f>IF(OR(fst&lt;fsadm,fsl&lt;fsadm,caso_l&lt;2,caso_t&lt;2),FALSE,TRUE)</f>
        <v>0</v>
      </c>
      <c r="D107" s="9"/>
      <c r="E107" s="9" t="s">
        <v>209</v>
      </c>
      <c r="F107" s="6"/>
      <c r="G107" s="6"/>
      <c r="H107" s="1"/>
      <c r="I107" s="6"/>
      <c r="J107" s="22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 t="s">
        <v>210</v>
      </c>
      <c r="B108" s="10" t="s">
        <v>211</v>
      </c>
      <c r="C108" s="3">
        <f>IF(AND(NOT(prueba),NOT(prueba_arm)),t+incremento,t)</f>
        <v>1.71</v>
      </c>
      <c r="D108" s="9" t="s">
        <v>17</v>
      </c>
      <c r="E108" s="9" t="s">
        <v>212</v>
      </c>
      <c r="F108" s="6"/>
      <c r="G108" s="6"/>
      <c r="H108" s="1"/>
      <c r="I108" s="6"/>
      <c r="J108" s="22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 t="s">
        <v>213</v>
      </c>
      <c r="B109" s="10" t="s">
        <v>214</v>
      </c>
      <c r="C109" s="73">
        <f>IF(AND(NOT(prueba),prueba_arm),a+incremento,a)</f>
        <v>1.3</v>
      </c>
      <c r="D109" s="4"/>
      <c r="E109" s="74" t="s">
        <v>215</v>
      </c>
      <c r="F109" s="4"/>
      <c r="G109" s="4"/>
      <c r="H109" s="4"/>
      <c r="I109" s="4"/>
      <c r="J109" s="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6" t="s">
        <v>216</v>
      </c>
      <c r="B110" s="10" t="s">
        <v>217</v>
      </c>
      <c r="C110" s="73">
        <f>IF(AND(NOT(prueba),prueba_arm),b+incremento,b)</f>
        <v>1.3</v>
      </c>
      <c r="D110" s="9"/>
      <c r="E110" s="9" t="s">
        <v>218</v>
      </c>
      <c r="F110" s="6"/>
      <c r="G110" s="10"/>
      <c r="H110" s="1"/>
      <c r="I110" s="6"/>
      <c r="J110" s="22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4"/>
      <c r="B111" s="4"/>
      <c r="C111" s="4"/>
      <c r="D111" s="4"/>
      <c r="E111" s="9"/>
      <c r="F111" s="6"/>
      <c r="G111" s="10"/>
      <c r="H111" s="1"/>
      <c r="I111" s="6"/>
      <c r="J111" s="22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4"/>
      <c r="B112" s="4"/>
      <c r="C112" s="4"/>
      <c r="D112" s="4"/>
      <c r="E112" s="9"/>
      <c r="F112" s="6"/>
      <c r="G112" s="10"/>
      <c r="H112" s="1"/>
      <c r="I112" s="6"/>
      <c r="J112" s="22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4"/>
      <c r="B113" s="4"/>
      <c r="C113" s="4"/>
      <c r="D113" s="4"/>
      <c r="E113" s="9"/>
      <c r="F113" s="6"/>
      <c r="G113" s="10"/>
      <c r="H113" s="1"/>
      <c r="I113" s="6"/>
      <c r="J113" s="22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10"/>
      <c r="C114" s="3"/>
      <c r="D114" s="9"/>
      <c r="E114" s="9"/>
      <c r="F114" s="6"/>
      <c r="G114" s="10"/>
      <c r="H114" s="1"/>
      <c r="I114" s="6"/>
      <c r="J114" s="22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10"/>
      <c r="C115" s="3"/>
      <c r="D115" s="9"/>
      <c r="E115" s="9"/>
      <c r="F115" s="6"/>
      <c r="G115" s="10"/>
      <c r="H115" s="1"/>
      <c r="I115" s="6"/>
      <c r="J115" s="22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10"/>
      <c r="C116" s="3"/>
      <c r="D116" s="9"/>
      <c r="E116" s="9"/>
      <c r="F116" s="6"/>
      <c r="G116" s="10"/>
      <c r="H116" s="1"/>
      <c r="I116" s="6"/>
      <c r="J116" s="22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10"/>
      <c r="C117" s="3"/>
      <c r="D117" s="9"/>
      <c r="E117" s="9"/>
      <c r="F117" s="6"/>
      <c r="G117" s="10"/>
      <c r="H117" s="1"/>
      <c r="I117" s="6"/>
      <c r="J117" s="22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10"/>
      <c r="C118" s="3"/>
      <c r="D118" s="9"/>
      <c r="E118" s="9"/>
      <c r="F118" s="6"/>
      <c r="G118" s="10"/>
      <c r="H118" s="1"/>
      <c r="I118" s="6"/>
      <c r="J118" s="22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4"/>
      <c r="B119" s="4"/>
      <c r="C119" s="4"/>
      <c r="D119" s="9"/>
      <c r="E119" s="9"/>
      <c r="F119" s="6"/>
      <c r="G119" s="10"/>
      <c r="H119" s="1"/>
      <c r="I119" s="6"/>
      <c r="J119" s="22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4"/>
      <c r="B120" s="4"/>
      <c r="C120" s="4"/>
      <c r="D120" s="9"/>
      <c r="E120" s="9"/>
      <c r="F120" s="6"/>
      <c r="G120" s="10"/>
      <c r="H120" s="1"/>
      <c r="I120" s="6"/>
      <c r="J120" s="22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10"/>
      <c r="C121" s="3"/>
      <c r="D121" s="9"/>
      <c r="E121" s="9"/>
      <c r="F121" s="6"/>
      <c r="G121" s="10"/>
      <c r="H121" s="1"/>
      <c r="I121" s="6"/>
      <c r="J121" s="22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10"/>
      <c r="C122" s="3"/>
      <c r="D122" s="9"/>
      <c r="E122" s="9"/>
      <c r="F122" s="6"/>
      <c r="G122" s="10"/>
      <c r="H122" s="1"/>
      <c r="I122" s="6"/>
      <c r="J122" s="22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10"/>
      <c r="C123" s="3"/>
      <c r="D123" s="9"/>
      <c r="E123" s="9"/>
      <c r="F123" s="6"/>
      <c r="G123" s="10"/>
      <c r="H123" s="1"/>
      <c r="I123" s="6"/>
      <c r="J123" s="22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10"/>
      <c r="C124" s="3"/>
      <c r="D124" s="9"/>
      <c r="E124" s="9"/>
      <c r="F124" s="6"/>
      <c r="G124" s="10"/>
      <c r="H124" s="1"/>
      <c r="I124" s="6"/>
      <c r="J124" s="22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10"/>
      <c r="C125" s="3"/>
      <c r="D125" s="9"/>
      <c r="E125" s="9"/>
      <c r="F125" s="6"/>
      <c r="G125" s="10"/>
      <c r="H125" s="1"/>
      <c r="I125" s="6"/>
      <c r="J125" s="22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10"/>
      <c r="C126" s="3"/>
      <c r="D126" s="9"/>
      <c r="E126" s="9"/>
      <c r="F126" s="6"/>
      <c r="G126" s="10"/>
      <c r="H126" s="1"/>
      <c r="I126" s="6"/>
      <c r="J126" s="22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10"/>
      <c r="C127" s="3"/>
      <c r="D127" s="9"/>
      <c r="E127" s="9"/>
      <c r="F127" s="6"/>
      <c r="G127" s="10"/>
      <c r="H127" s="1"/>
      <c r="I127" s="6"/>
      <c r="J127" s="22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10"/>
      <c r="C128" s="3"/>
      <c r="D128" s="9"/>
      <c r="E128" s="9"/>
      <c r="F128" s="6"/>
      <c r="G128" s="10"/>
      <c r="H128" s="1"/>
      <c r="I128" s="6"/>
      <c r="J128" s="22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10"/>
      <c r="C129" s="3"/>
      <c r="D129" s="9"/>
      <c r="E129" s="9"/>
      <c r="F129" s="6"/>
      <c r="G129" s="10"/>
      <c r="H129" s="1"/>
      <c r="I129" s="6"/>
      <c r="J129" s="22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10"/>
      <c r="C130" s="3"/>
      <c r="D130" s="9"/>
      <c r="E130" s="9"/>
      <c r="F130" s="6"/>
      <c r="G130" s="10"/>
      <c r="H130" s="1"/>
      <c r="I130" s="6"/>
      <c r="J130" s="22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10"/>
      <c r="C131" s="3"/>
      <c r="D131" s="9"/>
      <c r="E131" s="9"/>
      <c r="F131" s="6"/>
      <c r="G131" s="10"/>
      <c r="H131" s="1"/>
      <c r="I131" s="6"/>
      <c r="J131" s="22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10"/>
      <c r="C132" s="3"/>
      <c r="D132" s="9"/>
      <c r="E132" s="9"/>
      <c r="F132" s="6"/>
      <c r="G132" s="10"/>
      <c r="H132" s="1"/>
      <c r="I132" s="6"/>
      <c r="J132" s="22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10"/>
      <c r="C133" s="3"/>
      <c r="D133" s="9"/>
      <c r="E133" s="9"/>
      <c r="F133" s="6"/>
      <c r="G133" s="10"/>
      <c r="H133" s="1"/>
      <c r="I133" s="6"/>
      <c r="J133" s="22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10"/>
      <c r="C134" s="3"/>
      <c r="D134" s="9"/>
      <c r="E134" s="9"/>
      <c r="F134" s="6"/>
      <c r="G134" s="10"/>
      <c r="H134" s="1"/>
      <c r="I134" s="6"/>
      <c r="J134" s="22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10"/>
      <c r="C135" s="3"/>
      <c r="D135" s="9"/>
      <c r="E135" s="9"/>
      <c r="F135" s="6"/>
      <c r="G135" s="10"/>
      <c r="H135" s="1"/>
      <c r="I135" s="6"/>
      <c r="J135" s="22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10"/>
      <c r="C136" s="3"/>
      <c r="D136" s="9"/>
      <c r="E136" s="9"/>
      <c r="F136" s="6"/>
      <c r="G136" s="10"/>
      <c r="H136" s="1"/>
      <c r="I136" s="6"/>
      <c r="J136" s="22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10"/>
      <c r="C137" s="3"/>
      <c r="D137" s="9"/>
      <c r="E137" s="9"/>
      <c r="F137" s="6"/>
      <c r="G137" s="10"/>
      <c r="H137" s="1"/>
      <c r="I137" s="6"/>
      <c r="J137" s="22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10"/>
      <c r="C138" s="3"/>
      <c r="D138" s="9"/>
      <c r="E138" s="9"/>
      <c r="F138" s="6"/>
      <c r="G138" s="10"/>
      <c r="H138" s="1"/>
      <c r="I138" s="6"/>
      <c r="J138" s="22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10"/>
      <c r="C139" s="3"/>
      <c r="D139" s="9"/>
      <c r="E139" s="9"/>
      <c r="F139" s="6"/>
      <c r="G139" s="10"/>
      <c r="H139" s="1"/>
      <c r="I139" s="6"/>
      <c r="J139" s="22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10"/>
      <c r="C140" s="3"/>
      <c r="D140" s="9"/>
      <c r="E140" s="9"/>
      <c r="F140" s="6"/>
      <c r="G140" s="10"/>
      <c r="H140" s="1"/>
      <c r="I140" s="6"/>
      <c r="J140" s="22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10"/>
      <c r="C141" s="3"/>
      <c r="D141" s="9"/>
      <c r="E141" s="9"/>
      <c r="F141" s="6"/>
      <c r="G141" s="10"/>
      <c r="H141" s="1"/>
      <c r="I141" s="6"/>
      <c r="J141" s="22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10"/>
      <c r="C142" s="3"/>
      <c r="D142" s="9"/>
      <c r="E142" s="9"/>
      <c r="F142" s="6"/>
      <c r="G142" s="10"/>
      <c r="H142" s="1"/>
      <c r="I142" s="6"/>
      <c r="J142" s="22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10"/>
      <c r="C143" s="3"/>
      <c r="D143" s="9"/>
      <c r="E143" s="9"/>
      <c r="F143" s="6"/>
      <c r="G143" s="10"/>
      <c r="H143" s="1"/>
      <c r="I143" s="6"/>
      <c r="J143" s="22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10"/>
      <c r="C144" s="3"/>
      <c r="D144" s="9"/>
      <c r="E144" s="9"/>
      <c r="F144" s="6"/>
      <c r="G144" s="10"/>
      <c r="H144" s="1"/>
      <c r="I144" s="6"/>
      <c r="J144" s="22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10"/>
      <c r="C145" s="3"/>
      <c r="D145" s="9"/>
      <c r="E145" s="9"/>
      <c r="F145" s="6"/>
      <c r="G145" s="10"/>
      <c r="H145" s="1"/>
      <c r="I145" s="6"/>
      <c r="J145" s="22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10"/>
      <c r="C146" s="3"/>
      <c r="D146" s="9"/>
      <c r="E146" s="9"/>
      <c r="F146" s="6"/>
      <c r="G146" s="10"/>
      <c r="H146" s="1"/>
      <c r="I146" s="6"/>
      <c r="J146" s="22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10"/>
      <c r="C147" s="3"/>
      <c r="D147" s="9"/>
      <c r="E147" s="9"/>
      <c r="F147" s="6"/>
      <c r="G147" s="10"/>
      <c r="H147" s="1"/>
      <c r="I147" s="6"/>
      <c r="J147" s="22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10"/>
      <c r="C148" s="3"/>
      <c r="D148" s="9"/>
      <c r="E148" s="9"/>
      <c r="F148" s="6"/>
      <c r="G148" s="10"/>
      <c r="H148" s="1"/>
      <c r="I148" s="6"/>
      <c r="J148" s="22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10"/>
      <c r="C149" s="3"/>
      <c r="D149" s="9"/>
      <c r="E149" s="9"/>
      <c r="F149" s="6"/>
      <c r="G149" s="10"/>
      <c r="H149" s="1"/>
      <c r="I149" s="6"/>
      <c r="J149" s="22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10"/>
      <c r="C150" s="3"/>
      <c r="D150" s="9"/>
      <c r="E150" s="9"/>
      <c r="F150" s="6"/>
      <c r="G150" s="10"/>
      <c r="H150" s="1"/>
      <c r="I150" s="6"/>
      <c r="J150" s="22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10"/>
      <c r="C151" s="3"/>
      <c r="D151" s="9"/>
      <c r="E151" s="9"/>
      <c r="F151" s="6"/>
      <c r="G151" s="10"/>
      <c r="H151" s="1"/>
      <c r="I151" s="6"/>
      <c r="J151" s="22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10"/>
      <c r="C152" s="3"/>
      <c r="D152" s="9"/>
      <c r="E152" s="9"/>
      <c r="F152" s="6"/>
      <c r="G152" s="10"/>
      <c r="H152" s="1"/>
      <c r="I152" s="6"/>
      <c r="J152" s="22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10"/>
      <c r="C153" s="3"/>
      <c r="D153" s="9"/>
      <c r="E153" s="9"/>
      <c r="F153" s="6"/>
      <c r="G153" s="10"/>
      <c r="H153" s="1"/>
      <c r="I153" s="6"/>
      <c r="J153" s="22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10"/>
      <c r="C154" s="3"/>
      <c r="D154" s="9"/>
      <c r="E154" s="9"/>
      <c r="F154" s="6"/>
      <c r="G154" s="10"/>
      <c r="H154" s="1"/>
      <c r="I154" s="6"/>
      <c r="J154" s="22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10"/>
      <c r="C155" s="3"/>
      <c r="D155" s="9"/>
      <c r="E155" s="9"/>
      <c r="F155" s="6"/>
      <c r="G155" s="10"/>
      <c r="H155" s="1"/>
      <c r="I155" s="6"/>
      <c r="J155" s="22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10"/>
      <c r="C156" s="3"/>
      <c r="D156" s="9"/>
      <c r="E156" s="9"/>
      <c r="F156" s="6"/>
      <c r="G156" s="10"/>
      <c r="H156" s="1"/>
      <c r="I156" s="6"/>
      <c r="J156" s="22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10"/>
      <c r="C157" s="3"/>
      <c r="D157" s="9"/>
      <c r="E157" s="9"/>
      <c r="F157" s="6"/>
      <c r="G157" s="10"/>
      <c r="H157" s="1"/>
      <c r="I157" s="6"/>
      <c r="J157" s="22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10"/>
      <c r="C158" s="3"/>
      <c r="D158" s="9"/>
      <c r="E158" s="9"/>
      <c r="F158" s="6"/>
      <c r="G158" s="10"/>
      <c r="H158" s="1"/>
      <c r="I158" s="6"/>
      <c r="J158" s="22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10"/>
      <c r="C159" s="3"/>
      <c r="D159" s="9"/>
      <c r="E159" s="9"/>
      <c r="F159" s="6"/>
      <c r="G159" s="10"/>
      <c r="H159" s="1"/>
      <c r="I159" s="6"/>
      <c r="J159" s="22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10"/>
      <c r="C160" s="3"/>
      <c r="D160" s="9"/>
      <c r="E160" s="9"/>
      <c r="F160" s="6"/>
      <c r="G160" s="10"/>
      <c r="H160" s="1"/>
      <c r="I160" s="6"/>
      <c r="J160" s="22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10"/>
      <c r="C161" s="3"/>
      <c r="D161" s="9"/>
      <c r="E161" s="9"/>
      <c r="F161" s="6"/>
      <c r="G161" s="10"/>
      <c r="H161" s="1"/>
      <c r="I161" s="6"/>
      <c r="J161" s="22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10"/>
      <c r="C162" s="3"/>
      <c r="D162" s="9"/>
      <c r="E162" s="9"/>
      <c r="F162" s="6"/>
      <c r="G162" s="10"/>
      <c r="H162" s="1"/>
      <c r="I162" s="6"/>
      <c r="J162" s="22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10"/>
      <c r="C163" s="3"/>
      <c r="D163" s="9"/>
      <c r="E163" s="9"/>
      <c r="F163" s="6"/>
      <c r="G163" s="10"/>
      <c r="H163" s="1"/>
      <c r="I163" s="6"/>
      <c r="J163" s="22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10"/>
      <c r="C164" s="3"/>
      <c r="D164" s="9"/>
      <c r="E164" s="9"/>
      <c r="F164" s="6"/>
      <c r="G164" s="10"/>
      <c r="H164" s="1"/>
      <c r="I164" s="6"/>
      <c r="J164" s="22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10"/>
      <c r="C165" s="3"/>
      <c r="D165" s="9"/>
      <c r="E165" s="9"/>
      <c r="F165" s="6"/>
      <c r="G165" s="10"/>
      <c r="H165" s="1"/>
      <c r="I165" s="6"/>
      <c r="J165" s="22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10"/>
      <c r="C166" s="3"/>
      <c r="D166" s="9"/>
      <c r="E166" s="9"/>
      <c r="F166" s="6"/>
      <c r="G166" s="10"/>
      <c r="H166" s="1"/>
      <c r="I166" s="6"/>
      <c r="J166" s="22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10"/>
      <c r="C167" s="3"/>
      <c r="D167" s="9"/>
      <c r="E167" s="9"/>
      <c r="F167" s="6"/>
      <c r="G167" s="10"/>
      <c r="H167" s="1"/>
      <c r="I167" s="6"/>
      <c r="J167" s="22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10"/>
      <c r="C168" s="3"/>
      <c r="D168" s="9"/>
      <c r="E168" s="9"/>
      <c r="F168" s="6"/>
      <c r="G168" s="10"/>
      <c r="H168" s="1"/>
      <c r="I168" s="6"/>
      <c r="J168" s="22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10"/>
      <c r="C169" s="3"/>
      <c r="D169" s="9"/>
      <c r="E169" s="9"/>
      <c r="F169" s="6"/>
      <c r="G169" s="10"/>
      <c r="H169" s="1"/>
      <c r="I169" s="6"/>
      <c r="J169" s="22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10"/>
      <c r="C170" s="3"/>
      <c r="D170" s="9"/>
      <c r="E170" s="9"/>
      <c r="F170" s="6"/>
      <c r="G170" s="10"/>
      <c r="H170" s="1"/>
      <c r="I170" s="6"/>
      <c r="J170" s="22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10"/>
      <c r="C171" s="3"/>
      <c r="D171" s="9"/>
      <c r="E171" s="9"/>
      <c r="F171" s="6"/>
      <c r="G171" s="10"/>
      <c r="H171" s="1"/>
      <c r="I171" s="6"/>
      <c r="J171" s="22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10"/>
      <c r="C172" s="3"/>
      <c r="D172" s="9"/>
      <c r="E172" s="9"/>
      <c r="F172" s="6"/>
      <c r="G172" s="10"/>
      <c r="H172" s="1"/>
      <c r="I172" s="6"/>
      <c r="J172" s="22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10"/>
      <c r="C173" s="3"/>
      <c r="D173" s="9"/>
      <c r="E173" s="9"/>
      <c r="F173" s="6"/>
      <c r="G173" s="10"/>
      <c r="H173" s="1"/>
      <c r="I173" s="6"/>
      <c r="J173" s="22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10"/>
      <c r="C174" s="3"/>
      <c r="D174" s="9"/>
      <c r="E174" s="9"/>
      <c r="F174" s="6"/>
      <c r="G174" s="10"/>
      <c r="H174" s="1"/>
      <c r="I174" s="6"/>
      <c r="J174" s="22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10"/>
      <c r="C175" s="3"/>
      <c r="D175" s="9"/>
      <c r="E175" s="9"/>
      <c r="F175" s="6"/>
      <c r="G175" s="10"/>
      <c r="H175" s="1"/>
      <c r="I175" s="6"/>
      <c r="J175" s="22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10"/>
      <c r="C176" s="3"/>
      <c r="D176" s="9"/>
      <c r="E176" s="9"/>
      <c r="F176" s="6"/>
      <c r="G176" s="10"/>
      <c r="H176" s="1"/>
      <c r="I176" s="6"/>
      <c r="J176" s="22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10"/>
      <c r="C177" s="3"/>
      <c r="D177" s="9"/>
      <c r="E177" s="9"/>
      <c r="F177" s="6"/>
      <c r="G177" s="10"/>
      <c r="H177" s="1"/>
      <c r="I177" s="6"/>
      <c r="J177" s="22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10"/>
      <c r="C178" s="3"/>
      <c r="D178" s="9"/>
      <c r="E178" s="9"/>
      <c r="F178" s="6"/>
      <c r="G178" s="10"/>
      <c r="H178" s="1"/>
      <c r="I178" s="6"/>
      <c r="J178" s="22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10"/>
      <c r="C179" s="3"/>
      <c r="D179" s="9"/>
      <c r="E179" s="9"/>
      <c r="F179" s="6"/>
      <c r="G179" s="10"/>
      <c r="H179" s="1"/>
      <c r="I179" s="6"/>
      <c r="J179" s="22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10"/>
      <c r="C180" s="3"/>
      <c r="D180" s="9"/>
      <c r="E180" s="9"/>
      <c r="F180" s="6"/>
      <c r="G180" s="10"/>
      <c r="H180" s="1"/>
      <c r="I180" s="6"/>
      <c r="J180" s="22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10"/>
      <c r="C181" s="3"/>
      <c r="D181" s="9"/>
      <c r="E181" s="9"/>
      <c r="F181" s="6"/>
      <c r="G181" s="10"/>
      <c r="H181" s="1"/>
      <c r="I181" s="6"/>
      <c r="J181" s="22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10"/>
      <c r="C182" s="3"/>
      <c r="D182" s="9"/>
      <c r="E182" s="9"/>
      <c r="F182" s="6"/>
      <c r="G182" s="10"/>
      <c r="H182" s="1"/>
      <c r="I182" s="6"/>
      <c r="J182" s="22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10"/>
      <c r="C183" s="3"/>
      <c r="D183" s="9"/>
      <c r="E183" s="9"/>
      <c r="F183" s="6"/>
      <c r="G183" s="10"/>
      <c r="H183" s="1"/>
      <c r="I183" s="6"/>
      <c r="J183" s="22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10"/>
      <c r="C184" s="3"/>
      <c r="D184" s="9"/>
      <c r="E184" s="9"/>
      <c r="F184" s="6"/>
      <c r="G184" s="10"/>
      <c r="H184" s="1"/>
      <c r="I184" s="6"/>
      <c r="J184" s="22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10"/>
      <c r="C185" s="3"/>
      <c r="D185" s="9"/>
      <c r="E185" s="9"/>
      <c r="F185" s="6"/>
      <c r="G185" s="10"/>
      <c r="H185" s="1"/>
      <c r="I185" s="6"/>
      <c r="J185" s="22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10"/>
      <c r="C186" s="3"/>
      <c r="D186" s="9"/>
      <c r="E186" s="9"/>
      <c r="F186" s="6"/>
      <c r="G186" s="10"/>
      <c r="H186" s="1"/>
      <c r="I186" s="6"/>
      <c r="J186" s="22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10"/>
      <c r="C187" s="3"/>
      <c r="D187" s="9"/>
      <c r="E187" s="9"/>
      <c r="F187" s="6"/>
      <c r="G187" s="10"/>
      <c r="H187" s="1"/>
      <c r="I187" s="6"/>
      <c r="J187" s="22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10"/>
      <c r="C188" s="3"/>
      <c r="D188" s="9"/>
      <c r="E188" s="9"/>
      <c r="F188" s="6"/>
      <c r="G188" s="10"/>
      <c r="H188" s="1"/>
      <c r="I188" s="6"/>
      <c r="J188" s="22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10"/>
      <c r="C189" s="3"/>
      <c r="D189" s="9"/>
      <c r="E189" s="9"/>
      <c r="F189" s="6"/>
      <c r="G189" s="10"/>
      <c r="H189" s="1"/>
      <c r="I189" s="6"/>
      <c r="J189" s="22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10"/>
      <c r="C190" s="3"/>
      <c r="D190" s="9"/>
      <c r="E190" s="9"/>
      <c r="F190" s="6"/>
      <c r="G190" s="10"/>
      <c r="H190" s="1"/>
      <c r="I190" s="6"/>
      <c r="J190" s="22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10"/>
      <c r="C191" s="3"/>
      <c r="D191" s="9"/>
      <c r="E191" s="9"/>
      <c r="F191" s="6"/>
      <c r="G191" s="10"/>
      <c r="H191" s="1"/>
      <c r="I191" s="6"/>
      <c r="J191" s="22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10"/>
      <c r="C192" s="3"/>
      <c r="D192" s="9"/>
      <c r="E192" s="9"/>
      <c r="F192" s="6"/>
      <c r="G192" s="10"/>
      <c r="H192" s="1"/>
      <c r="I192" s="6"/>
      <c r="J192" s="22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10"/>
      <c r="C193" s="3"/>
      <c r="D193" s="9"/>
      <c r="E193" s="9"/>
      <c r="F193" s="6"/>
      <c r="G193" s="10"/>
      <c r="H193" s="1"/>
      <c r="I193" s="6"/>
      <c r="J193" s="22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10"/>
      <c r="C194" s="3"/>
      <c r="D194" s="9"/>
      <c r="E194" s="9"/>
      <c r="F194" s="6"/>
      <c r="G194" s="10"/>
      <c r="H194" s="1"/>
      <c r="I194" s="6"/>
      <c r="J194" s="22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10"/>
      <c r="C195" s="3"/>
      <c r="D195" s="9"/>
      <c r="E195" s="9"/>
      <c r="F195" s="6"/>
      <c r="G195" s="10"/>
      <c r="H195" s="1"/>
      <c r="I195" s="6"/>
      <c r="J195" s="22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10"/>
      <c r="C196" s="3"/>
      <c r="D196" s="9"/>
      <c r="E196" s="9"/>
      <c r="F196" s="6"/>
      <c r="G196" s="10"/>
      <c r="H196" s="1"/>
      <c r="I196" s="6"/>
      <c r="J196" s="22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10"/>
      <c r="C197" s="3"/>
      <c r="D197" s="9"/>
      <c r="E197" s="9"/>
      <c r="F197" s="6"/>
      <c r="G197" s="10"/>
      <c r="H197" s="1"/>
      <c r="I197" s="6"/>
      <c r="J197" s="22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10"/>
      <c r="C198" s="3"/>
      <c r="D198" s="9"/>
      <c r="E198" s="9"/>
      <c r="F198" s="6"/>
      <c r="G198" s="10"/>
      <c r="H198" s="1"/>
      <c r="I198" s="6"/>
      <c r="J198" s="22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10"/>
      <c r="C199" s="3"/>
      <c r="D199" s="9"/>
      <c r="E199" s="9"/>
      <c r="F199" s="6"/>
      <c r="G199" s="10"/>
      <c r="H199" s="1"/>
      <c r="I199" s="6"/>
      <c r="J199" s="22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10"/>
      <c r="C200" s="3"/>
      <c r="D200" s="9"/>
      <c r="E200" s="9"/>
      <c r="F200" s="6"/>
      <c r="G200" s="10"/>
      <c r="H200" s="1"/>
      <c r="I200" s="6"/>
      <c r="J200" s="22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10"/>
      <c r="C201" s="3"/>
      <c r="D201" s="9"/>
      <c r="E201" s="9"/>
      <c r="F201" s="6"/>
      <c r="G201" s="10"/>
      <c r="H201" s="1"/>
      <c r="I201" s="6"/>
      <c r="J201" s="22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10"/>
      <c r="C202" s="3"/>
      <c r="D202" s="9"/>
      <c r="E202" s="9"/>
      <c r="F202" s="6"/>
      <c r="G202" s="10"/>
      <c r="H202" s="1"/>
      <c r="I202" s="6"/>
      <c r="J202" s="22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10"/>
      <c r="C203" s="3"/>
      <c r="D203" s="9"/>
      <c r="E203" s="9"/>
      <c r="F203" s="6"/>
      <c r="G203" s="10"/>
      <c r="H203" s="1"/>
      <c r="I203" s="6"/>
      <c r="J203" s="22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10"/>
      <c r="C204" s="3"/>
      <c r="D204" s="9"/>
      <c r="E204" s="9"/>
      <c r="F204" s="6"/>
      <c r="G204" s="10"/>
      <c r="H204" s="1"/>
      <c r="I204" s="6"/>
      <c r="J204" s="22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10"/>
      <c r="C205" s="3"/>
      <c r="D205" s="9"/>
      <c r="E205" s="9"/>
      <c r="F205" s="6"/>
      <c r="G205" s="10"/>
      <c r="H205" s="1"/>
      <c r="I205" s="6"/>
      <c r="J205" s="22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10"/>
      <c r="C206" s="3"/>
      <c r="D206" s="9"/>
      <c r="E206" s="9"/>
      <c r="F206" s="6"/>
      <c r="G206" s="10"/>
      <c r="H206" s="1"/>
      <c r="I206" s="6"/>
      <c r="J206" s="22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10"/>
      <c r="C207" s="3"/>
      <c r="D207" s="9"/>
      <c r="E207" s="9"/>
      <c r="F207" s="6"/>
      <c r="G207" s="10"/>
      <c r="H207" s="1"/>
      <c r="I207" s="6"/>
      <c r="J207" s="22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10"/>
      <c r="C208" s="3"/>
      <c r="D208" s="9"/>
      <c r="E208" s="9"/>
      <c r="F208" s="6"/>
      <c r="G208" s="10"/>
      <c r="H208" s="1"/>
      <c r="I208" s="6"/>
      <c r="J208" s="22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10"/>
      <c r="C209" s="3"/>
      <c r="D209" s="9"/>
      <c r="E209" s="9"/>
      <c r="F209" s="6"/>
      <c r="G209" s="10"/>
      <c r="H209" s="1"/>
      <c r="I209" s="6"/>
      <c r="J209" s="22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10"/>
      <c r="C210" s="3"/>
      <c r="D210" s="9"/>
      <c r="E210" s="9"/>
      <c r="F210" s="6"/>
      <c r="G210" s="10"/>
      <c r="H210" s="1"/>
      <c r="I210" s="6"/>
      <c r="J210" s="22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10"/>
      <c r="C211" s="3"/>
      <c r="D211" s="9"/>
      <c r="E211" s="9"/>
      <c r="F211" s="6"/>
      <c r="G211" s="10"/>
      <c r="H211" s="1"/>
      <c r="I211" s="6"/>
      <c r="J211" s="22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10"/>
      <c r="C212" s="3"/>
      <c r="D212" s="9"/>
      <c r="E212" s="9"/>
      <c r="F212" s="6"/>
      <c r="G212" s="10"/>
      <c r="H212" s="1"/>
      <c r="I212" s="6"/>
      <c r="J212" s="22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10"/>
      <c r="C213" s="3"/>
      <c r="D213" s="9"/>
      <c r="E213" s="9"/>
      <c r="F213" s="6"/>
      <c r="G213" s="10"/>
      <c r="H213" s="1"/>
      <c r="I213" s="6"/>
      <c r="J213" s="22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10"/>
      <c r="C214" s="3"/>
      <c r="D214" s="9"/>
      <c r="E214" s="9"/>
      <c r="F214" s="6"/>
      <c r="G214" s="10"/>
      <c r="H214" s="1"/>
      <c r="I214" s="6"/>
      <c r="J214" s="22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10"/>
      <c r="C215" s="3"/>
      <c r="D215" s="9"/>
      <c r="E215" s="9"/>
      <c r="F215" s="6"/>
      <c r="G215" s="10"/>
      <c r="H215" s="1"/>
      <c r="I215" s="6"/>
      <c r="J215" s="22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10"/>
      <c r="C216" s="3"/>
      <c r="D216" s="9"/>
      <c r="E216" s="9"/>
      <c r="F216" s="6"/>
      <c r="G216" s="10"/>
      <c r="H216" s="1"/>
      <c r="I216" s="6"/>
      <c r="J216" s="22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10"/>
      <c r="C217" s="3"/>
      <c r="D217" s="9"/>
      <c r="E217" s="9"/>
      <c r="F217" s="6"/>
      <c r="G217" s="10"/>
      <c r="H217" s="1"/>
      <c r="I217" s="6"/>
      <c r="J217" s="22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10"/>
      <c r="C218" s="3"/>
      <c r="D218" s="9"/>
      <c r="E218" s="9"/>
      <c r="F218" s="6"/>
      <c r="G218" s="10"/>
      <c r="H218" s="1"/>
      <c r="I218" s="6"/>
      <c r="J218" s="22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10"/>
      <c r="C219" s="3"/>
      <c r="D219" s="9"/>
      <c r="E219" s="9"/>
      <c r="F219" s="6"/>
      <c r="G219" s="10"/>
      <c r="H219" s="1"/>
      <c r="I219" s="6"/>
      <c r="J219" s="22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10"/>
      <c r="C220" s="3"/>
      <c r="D220" s="9"/>
      <c r="E220" s="9"/>
      <c r="F220" s="6"/>
      <c r="G220" s="10"/>
      <c r="H220" s="1"/>
      <c r="I220" s="6"/>
      <c r="J220" s="22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10"/>
      <c r="C221" s="3"/>
      <c r="D221" s="9"/>
      <c r="E221" s="9"/>
      <c r="F221" s="6"/>
      <c r="G221" s="10"/>
      <c r="H221" s="1"/>
      <c r="I221" s="6"/>
      <c r="J221" s="22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10"/>
      <c r="C222" s="3"/>
      <c r="D222" s="9"/>
      <c r="E222" s="9"/>
      <c r="F222" s="6"/>
      <c r="G222" s="10"/>
      <c r="H222" s="1"/>
      <c r="I222" s="6"/>
      <c r="J222" s="22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10"/>
      <c r="C223" s="3"/>
      <c r="D223" s="9"/>
      <c r="E223" s="9"/>
      <c r="F223" s="6"/>
      <c r="G223" s="10"/>
      <c r="H223" s="1"/>
      <c r="I223" s="6"/>
      <c r="J223" s="22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10"/>
      <c r="C224" s="3"/>
      <c r="D224" s="9"/>
      <c r="E224" s="9"/>
      <c r="F224" s="6"/>
      <c r="G224" s="10"/>
      <c r="H224" s="1"/>
      <c r="I224" s="6"/>
      <c r="J224" s="22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10"/>
      <c r="C225" s="3"/>
      <c r="D225" s="9"/>
      <c r="E225" s="9"/>
      <c r="F225" s="6"/>
      <c r="G225" s="10"/>
      <c r="H225" s="1"/>
      <c r="I225" s="6"/>
      <c r="J225" s="22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10"/>
      <c r="C226" s="3"/>
      <c r="D226" s="9"/>
      <c r="E226" s="9"/>
      <c r="F226" s="6"/>
      <c r="G226" s="10"/>
      <c r="H226" s="1"/>
      <c r="I226" s="6"/>
      <c r="J226" s="22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10"/>
      <c r="C227" s="3"/>
      <c r="D227" s="9"/>
      <c r="E227" s="9"/>
      <c r="F227" s="6"/>
      <c r="G227" s="10"/>
      <c r="H227" s="1"/>
      <c r="I227" s="6"/>
      <c r="J227" s="22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10"/>
      <c r="C228" s="3"/>
      <c r="D228" s="9"/>
      <c r="E228" s="9"/>
      <c r="F228" s="6"/>
      <c r="G228" s="10"/>
      <c r="H228" s="1"/>
      <c r="I228" s="6"/>
      <c r="J228" s="22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10"/>
      <c r="C229" s="3"/>
      <c r="D229" s="9"/>
      <c r="E229" s="9"/>
      <c r="F229" s="6"/>
      <c r="G229" s="10"/>
      <c r="H229" s="1"/>
      <c r="I229" s="6"/>
      <c r="J229" s="22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10"/>
      <c r="C230" s="3"/>
      <c r="D230" s="9"/>
      <c r="E230" s="9"/>
      <c r="F230" s="6"/>
      <c r="G230" s="10"/>
      <c r="H230" s="1"/>
      <c r="I230" s="6"/>
      <c r="J230" s="22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10"/>
      <c r="C231" s="3"/>
      <c r="D231" s="9"/>
      <c r="E231" s="9"/>
      <c r="F231" s="6"/>
      <c r="G231" s="10"/>
      <c r="H231" s="1"/>
      <c r="I231" s="6"/>
      <c r="J231" s="22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10"/>
      <c r="C232" s="3"/>
      <c r="D232" s="9"/>
      <c r="E232" s="9"/>
      <c r="F232" s="6"/>
      <c r="G232" s="10"/>
      <c r="H232" s="1"/>
      <c r="I232" s="6"/>
      <c r="J232" s="22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10"/>
      <c r="C233" s="3"/>
      <c r="D233" s="9"/>
      <c r="E233" s="9"/>
      <c r="F233" s="6"/>
      <c r="G233" s="10"/>
      <c r="H233" s="1"/>
      <c r="I233" s="6"/>
      <c r="J233" s="22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10"/>
      <c r="C234" s="3"/>
      <c r="D234" s="9"/>
      <c r="E234" s="9"/>
      <c r="F234" s="6"/>
      <c r="G234" s="10"/>
      <c r="H234" s="1"/>
      <c r="I234" s="6"/>
      <c r="J234" s="22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10"/>
      <c r="C235" s="3"/>
      <c r="D235" s="9"/>
      <c r="E235" s="9"/>
      <c r="F235" s="6"/>
      <c r="G235" s="10"/>
      <c r="H235" s="1"/>
      <c r="I235" s="6"/>
      <c r="J235" s="22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10"/>
      <c r="C236" s="3"/>
      <c r="D236" s="9"/>
      <c r="E236" s="9"/>
      <c r="F236" s="6"/>
      <c r="G236" s="10"/>
      <c r="H236" s="1"/>
      <c r="I236" s="6"/>
      <c r="J236" s="22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10"/>
      <c r="C237" s="3"/>
      <c r="D237" s="9"/>
      <c r="E237" s="9"/>
      <c r="F237" s="6"/>
      <c r="G237" s="10"/>
      <c r="H237" s="1"/>
      <c r="I237" s="6"/>
      <c r="J237" s="22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10"/>
      <c r="C238" s="3"/>
      <c r="D238" s="9"/>
      <c r="E238" s="9"/>
      <c r="F238" s="6"/>
      <c r="G238" s="10"/>
      <c r="H238" s="1"/>
      <c r="I238" s="6"/>
      <c r="J238" s="22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10"/>
      <c r="C239" s="3"/>
      <c r="D239" s="9"/>
      <c r="E239" s="9"/>
      <c r="F239" s="6"/>
      <c r="G239" s="10"/>
      <c r="H239" s="1"/>
      <c r="I239" s="6"/>
      <c r="J239" s="22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10"/>
      <c r="C240" s="3"/>
      <c r="D240" s="9"/>
      <c r="E240" s="9"/>
      <c r="F240" s="6"/>
      <c r="G240" s="10"/>
      <c r="H240" s="1"/>
      <c r="I240" s="6"/>
      <c r="J240" s="22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10"/>
      <c r="C241" s="3"/>
      <c r="D241" s="9"/>
      <c r="E241" s="9"/>
      <c r="F241" s="6"/>
      <c r="G241" s="10"/>
      <c r="H241" s="1"/>
      <c r="I241" s="6"/>
      <c r="J241" s="22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10"/>
      <c r="C242" s="3"/>
      <c r="D242" s="9"/>
      <c r="E242" s="9"/>
      <c r="F242" s="6"/>
      <c r="G242" s="10"/>
      <c r="H242" s="1"/>
      <c r="I242" s="6"/>
      <c r="J242" s="22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10"/>
      <c r="C243" s="3"/>
      <c r="D243" s="9"/>
      <c r="E243" s="9"/>
      <c r="F243" s="6"/>
      <c r="G243" s="10"/>
      <c r="H243" s="1"/>
      <c r="I243" s="6"/>
      <c r="J243" s="22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10"/>
      <c r="C244" s="3"/>
      <c r="D244" s="9"/>
      <c r="E244" s="9"/>
      <c r="F244" s="6"/>
      <c r="G244" s="10"/>
      <c r="H244" s="1"/>
      <c r="I244" s="6"/>
      <c r="J244" s="22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10"/>
      <c r="C245" s="3"/>
      <c r="D245" s="9"/>
      <c r="E245" s="9"/>
      <c r="F245" s="6"/>
      <c r="G245" s="10"/>
      <c r="H245" s="1"/>
      <c r="I245" s="6"/>
      <c r="J245" s="22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10"/>
      <c r="C246" s="3"/>
      <c r="D246" s="9"/>
      <c r="E246" s="9"/>
      <c r="F246" s="6"/>
      <c r="G246" s="10"/>
      <c r="H246" s="1"/>
      <c r="I246" s="6"/>
      <c r="J246" s="22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10"/>
      <c r="C247" s="3"/>
      <c r="D247" s="9"/>
      <c r="E247" s="9"/>
      <c r="F247" s="6"/>
      <c r="G247" s="10"/>
      <c r="H247" s="1"/>
      <c r="I247" s="6"/>
      <c r="J247" s="22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10"/>
      <c r="C248" s="3"/>
      <c r="D248" s="9"/>
      <c r="E248" s="9"/>
      <c r="F248" s="6"/>
      <c r="G248" s="10"/>
      <c r="H248" s="1"/>
      <c r="I248" s="6"/>
      <c r="J248" s="22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10"/>
      <c r="C249" s="3"/>
      <c r="D249" s="9"/>
      <c r="E249" s="9"/>
      <c r="F249" s="6"/>
      <c r="G249" s="10"/>
      <c r="H249" s="1"/>
      <c r="I249" s="6"/>
      <c r="J249" s="22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10"/>
      <c r="C250" s="3"/>
      <c r="D250" s="9"/>
      <c r="E250" s="9"/>
      <c r="F250" s="6"/>
      <c r="G250" s="10"/>
      <c r="H250" s="1"/>
      <c r="I250" s="6"/>
      <c r="J250" s="22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10"/>
      <c r="C251" s="3"/>
      <c r="D251" s="9"/>
      <c r="E251" s="9"/>
      <c r="F251" s="6"/>
      <c r="G251" s="10"/>
      <c r="H251" s="1"/>
      <c r="I251" s="6"/>
      <c r="J251" s="22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10"/>
      <c r="C252" s="3"/>
      <c r="D252" s="9"/>
      <c r="E252" s="9"/>
      <c r="F252" s="6"/>
      <c r="G252" s="10"/>
      <c r="H252" s="1"/>
      <c r="I252" s="6"/>
      <c r="J252" s="22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10"/>
      <c r="C253" s="3"/>
      <c r="D253" s="9"/>
      <c r="E253" s="9"/>
      <c r="F253" s="6"/>
      <c r="G253" s="10"/>
      <c r="H253" s="1"/>
      <c r="I253" s="6"/>
      <c r="J253" s="22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10"/>
      <c r="C254" s="3"/>
      <c r="D254" s="9"/>
      <c r="E254" s="9"/>
      <c r="F254" s="6"/>
      <c r="G254" s="10"/>
      <c r="H254" s="1"/>
      <c r="I254" s="6"/>
      <c r="J254" s="22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10"/>
      <c r="C255" s="3"/>
      <c r="D255" s="9"/>
      <c r="E255" s="9"/>
      <c r="F255" s="6"/>
      <c r="G255" s="10"/>
      <c r="H255" s="1"/>
      <c r="I255" s="6"/>
      <c r="J255" s="22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10"/>
      <c r="C256" s="3"/>
      <c r="D256" s="9"/>
      <c r="E256" s="9"/>
      <c r="F256" s="6"/>
      <c r="G256" s="10"/>
      <c r="H256" s="1"/>
      <c r="I256" s="6"/>
      <c r="J256" s="22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10"/>
      <c r="C257" s="3"/>
      <c r="D257" s="9"/>
      <c r="E257" s="9"/>
      <c r="F257" s="6"/>
      <c r="G257" s="10"/>
      <c r="H257" s="1"/>
      <c r="I257" s="6"/>
      <c r="J257" s="22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10"/>
      <c r="C258" s="3"/>
      <c r="D258" s="9"/>
      <c r="E258" s="9"/>
      <c r="F258" s="6"/>
      <c r="G258" s="10"/>
      <c r="H258" s="1"/>
      <c r="I258" s="6"/>
      <c r="J258" s="22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10"/>
      <c r="C259" s="3"/>
      <c r="D259" s="9"/>
      <c r="E259" s="9"/>
      <c r="F259" s="6"/>
      <c r="G259" s="10"/>
      <c r="H259" s="1"/>
      <c r="I259" s="6"/>
      <c r="J259" s="22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10"/>
      <c r="C260" s="3"/>
      <c r="D260" s="9"/>
      <c r="E260" s="9"/>
      <c r="F260" s="6"/>
      <c r="G260" s="10"/>
      <c r="H260" s="1"/>
      <c r="I260" s="6"/>
      <c r="J260" s="22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10"/>
      <c r="C261" s="3"/>
      <c r="D261" s="9"/>
      <c r="E261" s="9"/>
      <c r="F261" s="6"/>
      <c r="G261" s="10"/>
      <c r="H261" s="1"/>
      <c r="I261" s="6"/>
      <c r="J261" s="22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10"/>
      <c r="C262" s="3"/>
      <c r="D262" s="9"/>
      <c r="E262" s="9"/>
      <c r="F262" s="6"/>
      <c r="G262" s="10"/>
      <c r="H262" s="1"/>
      <c r="I262" s="6"/>
      <c r="J262" s="22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10"/>
      <c r="C263" s="3"/>
      <c r="D263" s="9"/>
      <c r="E263" s="9"/>
      <c r="F263" s="6"/>
      <c r="G263" s="10"/>
      <c r="H263" s="1"/>
      <c r="I263" s="6"/>
      <c r="J263" s="22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10"/>
      <c r="C264" s="3"/>
      <c r="D264" s="9"/>
      <c r="E264" s="9"/>
      <c r="F264" s="6"/>
      <c r="G264" s="10"/>
      <c r="H264" s="1"/>
      <c r="I264" s="6"/>
      <c r="J264" s="22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10"/>
      <c r="C265" s="3"/>
      <c r="D265" s="9"/>
      <c r="E265" s="9"/>
      <c r="F265" s="6"/>
      <c r="G265" s="10"/>
      <c r="H265" s="1"/>
      <c r="I265" s="6"/>
      <c r="J265" s="22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10"/>
      <c r="C266" s="3"/>
      <c r="D266" s="9"/>
      <c r="E266" s="9"/>
      <c r="F266" s="6"/>
      <c r="G266" s="10"/>
      <c r="H266" s="1"/>
      <c r="I266" s="6"/>
      <c r="J266" s="22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10"/>
      <c r="C267" s="3"/>
      <c r="D267" s="9"/>
      <c r="E267" s="9"/>
      <c r="F267" s="6"/>
      <c r="G267" s="10"/>
      <c r="H267" s="1"/>
      <c r="I267" s="6"/>
      <c r="J267" s="22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10"/>
      <c r="C268" s="3"/>
      <c r="D268" s="9"/>
      <c r="E268" s="9"/>
      <c r="F268" s="6"/>
      <c r="G268" s="10"/>
      <c r="H268" s="1"/>
      <c r="I268" s="6"/>
      <c r="J268" s="22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10"/>
      <c r="C269" s="3"/>
      <c r="D269" s="9"/>
      <c r="E269" s="9"/>
      <c r="F269" s="6"/>
      <c r="G269" s="10"/>
      <c r="H269" s="1"/>
      <c r="I269" s="6"/>
      <c r="J269" s="22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10"/>
      <c r="C270" s="3"/>
      <c r="D270" s="9"/>
      <c r="E270" s="9"/>
      <c r="F270" s="6"/>
      <c r="G270" s="10"/>
      <c r="H270" s="1"/>
      <c r="I270" s="6"/>
      <c r="J270" s="22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10"/>
      <c r="C271" s="3"/>
      <c r="D271" s="9"/>
      <c r="E271" s="9"/>
      <c r="F271" s="6"/>
      <c r="G271" s="10"/>
      <c r="H271" s="1"/>
      <c r="I271" s="6"/>
      <c r="J271" s="22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10"/>
      <c r="C272" s="3"/>
      <c r="D272" s="9"/>
      <c r="E272" s="9"/>
      <c r="F272" s="6"/>
      <c r="G272" s="10"/>
      <c r="H272" s="1"/>
      <c r="I272" s="6"/>
      <c r="J272" s="22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10"/>
      <c r="C273" s="3"/>
      <c r="D273" s="9"/>
      <c r="E273" s="9"/>
      <c r="F273" s="6"/>
      <c r="G273" s="10"/>
      <c r="H273" s="1"/>
      <c r="I273" s="6"/>
      <c r="J273" s="22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10"/>
      <c r="C274" s="3"/>
      <c r="D274" s="9"/>
      <c r="E274" s="9"/>
      <c r="F274" s="6"/>
      <c r="G274" s="10"/>
      <c r="H274" s="1"/>
      <c r="I274" s="6"/>
      <c r="J274" s="22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10"/>
      <c r="C275" s="3"/>
      <c r="D275" s="9"/>
      <c r="E275" s="9"/>
      <c r="F275" s="6"/>
      <c r="G275" s="10"/>
      <c r="H275" s="1"/>
      <c r="I275" s="6"/>
      <c r="J275" s="22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10"/>
      <c r="C276" s="3"/>
      <c r="D276" s="9"/>
      <c r="E276" s="9"/>
      <c r="F276" s="6"/>
      <c r="G276" s="10"/>
      <c r="H276" s="1"/>
      <c r="I276" s="6"/>
      <c r="J276" s="22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10"/>
      <c r="C277" s="3"/>
      <c r="D277" s="9"/>
      <c r="E277" s="9"/>
      <c r="F277" s="6"/>
      <c r="G277" s="10"/>
      <c r="H277" s="1"/>
      <c r="I277" s="6"/>
      <c r="J277" s="22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10"/>
      <c r="C278" s="3"/>
      <c r="D278" s="9"/>
      <c r="E278" s="9"/>
      <c r="F278" s="6"/>
      <c r="G278" s="10"/>
      <c r="H278" s="1"/>
      <c r="I278" s="6"/>
      <c r="J278" s="22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10"/>
      <c r="C279" s="3"/>
      <c r="D279" s="9"/>
      <c r="E279" s="9"/>
      <c r="F279" s="6"/>
      <c r="G279" s="10"/>
      <c r="H279" s="1"/>
      <c r="I279" s="6"/>
      <c r="J279" s="22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10"/>
      <c r="C280" s="3"/>
      <c r="D280" s="9"/>
      <c r="E280" s="9"/>
      <c r="F280" s="6"/>
      <c r="G280" s="10"/>
      <c r="H280" s="1"/>
      <c r="I280" s="6"/>
      <c r="J280" s="22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10"/>
      <c r="C281" s="3"/>
      <c r="D281" s="9"/>
      <c r="E281" s="9"/>
      <c r="F281" s="6"/>
      <c r="G281" s="10"/>
      <c r="H281" s="1"/>
      <c r="I281" s="6"/>
      <c r="J281" s="22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10"/>
      <c r="C282" s="3"/>
      <c r="D282" s="9"/>
      <c r="E282" s="9"/>
      <c r="F282" s="6"/>
      <c r="G282" s="10"/>
      <c r="H282" s="1"/>
      <c r="I282" s="6"/>
      <c r="J282" s="22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10"/>
      <c r="C283" s="3"/>
      <c r="D283" s="9"/>
      <c r="E283" s="9"/>
      <c r="F283" s="6"/>
      <c r="G283" s="10"/>
      <c r="H283" s="1"/>
      <c r="I283" s="6"/>
      <c r="J283" s="22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10"/>
      <c r="C284" s="3"/>
      <c r="D284" s="9"/>
      <c r="E284" s="9"/>
      <c r="F284" s="6"/>
      <c r="G284" s="10"/>
      <c r="H284" s="1"/>
      <c r="I284" s="6"/>
      <c r="J284" s="22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10"/>
      <c r="C285" s="3"/>
      <c r="D285" s="9"/>
      <c r="E285" s="9"/>
      <c r="F285" s="6"/>
      <c r="G285" s="10"/>
      <c r="H285" s="1"/>
      <c r="I285" s="6"/>
      <c r="J285" s="22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10"/>
      <c r="C286" s="3"/>
      <c r="D286" s="9"/>
      <c r="E286" s="9"/>
      <c r="F286" s="6"/>
      <c r="G286" s="10"/>
      <c r="H286" s="1"/>
      <c r="I286" s="6"/>
      <c r="J286" s="22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10"/>
      <c r="C287" s="3"/>
      <c r="D287" s="9"/>
      <c r="E287" s="9"/>
      <c r="F287" s="6"/>
      <c r="G287" s="10"/>
      <c r="H287" s="1"/>
      <c r="I287" s="6"/>
      <c r="J287" s="22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10"/>
      <c r="C288" s="3"/>
      <c r="D288" s="9"/>
      <c r="E288" s="9"/>
      <c r="F288" s="6"/>
      <c r="G288" s="10"/>
      <c r="H288" s="1"/>
      <c r="I288" s="6"/>
      <c r="J288" s="22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10"/>
      <c r="C289" s="3"/>
      <c r="D289" s="9"/>
      <c r="E289" s="9"/>
      <c r="F289" s="6"/>
      <c r="G289" s="10"/>
      <c r="H289" s="1"/>
      <c r="I289" s="6"/>
      <c r="J289" s="22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10"/>
      <c r="C290" s="3"/>
      <c r="D290" s="9"/>
      <c r="E290" s="9"/>
      <c r="F290" s="6"/>
      <c r="G290" s="10"/>
      <c r="H290" s="1"/>
      <c r="I290" s="6"/>
      <c r="J290" s="22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10"/>
      <c r="C291" s="3"/>
      <c r="D291" s="9"/>
      <c r="E291" s="9"/>
      <c r="F291" s="6"/>
      <c r="G291" s="10"/>
      <c r="H291" s="1"/>
      <c r="I291" s="6"/>
      <c r="J291" s="22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10"/>
      <c r="C292" s="3"/>
      <c r="D292" s="9"/>
      <c r="E292" s="9"/>
      <c r="F292" s="6"/>
      <c r="G292" s="10"/>
      <c r="H292" s="1"/>
      <c r="I292" s="6"/>
      <c r="J292" s="22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10"/>
      <c r="C293" s="3"/>
      <c r="D293" s="9"/>
      <c r="E293" s="9"/>
      <c r="F293" s="6"/>
      <c r="G293" s="10"/>
      <c r="H293" s="1"/>
      <c r="I293" s="6"/>
      <c r="J293" s="22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10"/>
      <c r="C294" s="3"/>
      <c r="D294" s="9"/>
      <c r="E294" s="9"/>
      <c r="F294" s="6"/>
      <c r="G294" s="10"/>
      <c r="H294" s="1"/>
      <c r="I294" s="6"/>
      <c r="J294" s="22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10"/>
      <c r="C295" s="3"/>
      <c r="D295" s="9"/>
      <c r="E295" s="9"/>
      <c r="F295" s="6"/>
      <c r="G295" s="10"/>
      <c r="H295" s="1"/>
      <c r="I295" s="6"/>
      <c r="J295" s="22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10"/>
      <c r="C296" s="3"/>
      <c r="D296" s="9"/>
      <c r="E296" s="9"/>
      <c r="F296" s="6"/>
      <c r="G296" s="10"/>
      <c r="H296" s="1"/>
      <c r="I296" s="6"/>
      <c r="J296" s="22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10"/>
      <c r="C297" s="3"/>
      <c r="D297" s="9"/>
      <c r="E297" s="9"/>
      <c r="F297" s="6"/>
      <c r="G297" s="10"/>
      <c r="H297" s="1"/>
      <c r="I297" s="6"/>
      <c r="J297" s="22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10"/>
      <c r="C298" s="3"/>
      <c r="D298" s="9"/>
      <c r="E298" s="9"/>
      <c r="F298" s="6"/>
      <c r="G298" s="10"/>
      <c r="H298" s="1"/>
      <c r="I298" s="6"/>
      <c r="J298" s="22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10"/>
      <c r="C299" s="3"/>
      <c r="D299" s="9"/>
      <c r="E299" s="9"/>
      <c r="F299" s="6"/>
      <c r="G299" s="10"/>
      <c r="H299" s="1"/>
      <c r="I299" s="6"/>
      <c r="J299" s="22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10"/>
      <c r="C300" s="3"/>
      <c r="D300" s="9"/>
      <c r="E300" s="9"/>
      <c r="F300" s="6"/>
      <c r="G300" s="10"/>
      <c r="H300" s="1"/>
      <c r="I300" s="6"/>
      <c r="J300" s="22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10"/>
      <c r="C301" s="3"/>
      <c r="D301" s="9"/>
      <c r="E301" s="9"/>
      <c r="F301" s="6"/>
      <c r="G301" s="10"/>
      <c r="H301" s="1"/>
      <c r="I301" s="6"/>
      <c r="J301" s="22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10"/>
      <c r="C302" s="3"/>
      <c r="D302" s="9"/>
      <c r="E302" s="9"/>
      <c r="F302" s="6"/>
      <c r="G302" s="10"/>
      <c r="H302" s="1"/>
      <c r="I302" s="6"/>
      <c r="J302" s="22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10"/>
      <c r="C303" s="3"/>
      <c r="D303" s="9"/>
      <c r="E303" s="9"/>
      <c r="F303" s="6"/>
      <c r="G303" s="10"/>
      <c r="H303" s="1"/>
      <c r="I303" s="6"/>
      <c r="J303" s="22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10"/>
      <c r="C304" s="3"/>
      <c r="D304" s="9"/>
      <c r="E304" s="9"/>
      <c r="F304" s="6"/>
      <c r="G304" s="10"/>
      <c r="H304" s="1"/>
      <c r="I304" s="6"/>
      <c r="J304" s="22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10"/>
      <c r="C305" s="3"/>
      <c r="D305" s="9"/>
      <c r="E305" s="9"/>
      <c r="F305" s="6"/>
      <c r="G305" s="10"/>
      <c r="H305" s="1"/>
      <c r="I305" s="6"/>
      <c r="J305" s="22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10"/>
      <c r="C306" s="3"/>
      <c r="D306" s="9"/>
      <c r="E306" s="9"/>
      <c r="F306" s="6"/>
      <c r="G306" s="10"/>
      <c r="H306" s="1"/>
      <c r="I306" s="6"/>
      <c r="J306" s="22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10"/>
      <c r="C307" s="3"/>
      <c r="D307" s="9"/>
      <c r="E307" s="9"/>
      <c r="F307" s="6"/>
      <c r="G307" s="10"/>
      <c r="H307" s="1"/>
      <c r="I307" s="6"/>
      <c r="J307" s="22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10"/>
      <c r="C308" s="3"/>
      <c r="D308" s="9"/>
      <c r="E308" s="9"/>
      <c r="F308" s="6"/>
      <c r="G308" s="10"/>
      <c r="H308" s="1"/>
      <c r="I308" s="6"/>
      <c r="J308" s="22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10"/>
      <c r="C309" s="3"/>
      <c r="D309" s="9"/>
      <c r="E309" s="9"/>
      <c r="F309" s="6"/>
      <c r="G309" s="10"/>
      <c r="H309" s="1"/>
      <c r="I309" s="6"/>
      <c r="J309" s="22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10"/>
      <c r="C310" s="3"/>
      <c r="D310" s="9"/>
      <c r="E310" s="9"/>
      <c r="F310" s="6"/>
      <c r="G310" s="10"/>
      <c r="H310" s="1"/>
      <c r="I310" s="6"/>
      <c r="J310" s="22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H4:K4"/>
    <mergeCell ref="E9:G9"/>
  </mergeCells>
  <dataValidations count="4">
    <dataValidation type="list" allowBlank="1" showErrorMessage="1" sqref="B4">
      <formula1>"Rombica,Cuadrada"</formula1>
    </dataValidation>
    <dataValidation type="list" allowBlank="1" showErrorMessage="1" sqref="B7">
      <formula1>"Cargar datos,Calcular"</formula1>
    </dataValidation>
    <dataValidation type="list" allowBlank="1" showErrorMessage="1" sqref="B5">
      <formula1>"1,2,3"</formula1>
    </dataValidation>
    <dataValidation type="list" allowBlank="1" showErrorMessage="1" sqref="B6">
      <formula1>"Colineal,Transversal,N/A"</formula1>
    </dataValidation>
  </dataValidation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90</vt:i4>
      </vt:variant>
    </vt:vector>
  </HeadingPairs>
  <TitlesOfParts>
    <vt:vector size="91" baseType="lpstr">
      <vt:lpstr>Calculo</vt:lpstr>
      <vt:lpstr>a</vt:lpstr>
      <vt:lpstr>acalc</vt:lpstr>
      <vt:lpstr>ain</vt:lpstr>
      <vt:lpstr>amin</vt:lpstr>
      <vt:lpstr>b</vt:lpstr>
      <vt:lpstr>bcalc</vt:lpstr>
      <vt:lpstr>beta</vt:lpstr>
      <vt:lpstr>bin</vt:lpstr>
      <vt:lpstr>bmin</vt:lpstr>
      <vt:lpstr>c_</vt:lpstr>
      <vt:lpstr>cacb</vt:lpstr>
      <vt:lpstr>caso_l</vt:lpstr>
      <vt:lpstr>caso_t</vt:lpstr>
      <vt:lpstr>con</vt:lpstr>
      <vt:lpstr>dc</vt:lpstr>
      <vt:lpstr>dmed</vt:lpstr>
      <vt:lpstr>dmf</vt:lpstr>
      <vt:lpstr>dml</vt:lpstr>
      <vt:lpstr>dmol</vt:lpstr>
      <vt:lpstr>dostanbeta</vt:lpstr>
      <vt:lpstr>dosttanbeta</vt:lpstr>
      <vt:lpstr>estructura</vt:lpstr>
      <vt:lpstr>fl</vt:lpstr>
      <vt:lpstr>fsadm</vt:lpstr>
      <vt:lpstr>fsl</vt:lpstr>
      <vt:lpstr>fst</vt:lpstr>
      <vt:lpstr>ft</vt:lpstr>
      <vt:lpstr>G</vt:lpstr>
      <vt:lpstr>ghor</vt:lpstr>
      <vt:lpstr>gp</vt:lpstr>
      <vt:lpstr>gtg</vt:lpstr>
      <vt:lpstr>gtot</vt:lpstr>
      <vt:lpstr>h</vt:lpstr>
      <vt:lpstr>he</vt:lpstr>
      <vt:lpstr>hl</vt:lpstr>
      <vt:lpstr>incremento</vt:lpstr>
      <vt:lpstr>mbl_1</vt:lpstr>
      <vt:lpstr>mbl_2</vt:lpstr>
      <vt:lpstr>mbt_1</vt:lpstr>
      <vt:lpstr>mbt_2</vt:lpstr>
      <vt:lpstr>modo</vt:lpstr>
      <vt:lpstr>mol_1</vt:lpstr>
      <vt:lpstr>mol_2</vt:lpstr>
      <vt:lpstr>mot_1</vt:lpstr>
      <vt:lpstr>mot_2</vt:lpstr>
      <vt:lpstr>msl_1</vt:lpstr>
      <vt:lpstr>msl_2</vt:lpstr>
      <vt:lpstr>mst_1</vt:lpstr>
      <vt:lpstr>mst_2</vt:lpstr>
      <vt:lpstr>mu</vt:lpstr>
      <vt:lpstr>mvl_1</vt:lpstr>
      <vt:lpstr>mvl_2</vt:lpstr>
      <vt:lpstr>mvt_1</vt:lpstr>
      <vt:lpstr>mvt_2</vt:lpstr>
      <vt:lpstr>np</vt:lpstr>
      <vt:lpstr>orientacion</vt:lpstr>
      <vt:lpstr>pp</vt:lpstr>
      <vt:lpstr>prueba</vt:lpstr>
      <vt:lpstr>prueba_arm</vt:lpstr>
      <vt:lpstr>relml_1</vt:lpstr>
      <vt:lpstr>relml_2</vt:lpstr>
      <vt:lpstr>relmt_1</vt:lpstr>
      <vt:lpstr>relmt_2</vt:lpstr>
      <vt:lpstr>relsigma</vt:lpstr>
      <vt:lpstr>relsigma_adm</vt:lpstr>
      <vt:lpstr>sigma</vt:lpstr>
      <vt:lpstr>sigma_1</vt:lpstr>
      <vt:lpstr>sigma_adm</vt:lpstr>
      <vt:lpstr>sl_1</vt:lpstr>
      <vt:lpstr>sl_2</vt:lpstr>
      <vt:lpstr>spc</vt:lpstr>
      <vt:lpstr>st_1</vt:lpstr>
      <vt:lpstr>st_2</vt:lpstr>
      <vt:lpstr>t</vt:lpstr>
      <vt:lpstr>t_he</vt:lpstr>
      <vt:lpstr>t_he_req</vt:lpstr>
      <vt:lpstr>tan_alfa1l</vt:lpstr>
      <vt:lpstr>tan_alfa1t</vt:lpstr>
      <vt:lpstr>tan_alfa2l</vt:lpstr>
      <vt:lpstr>tan_alfa2t</vt:lpstr>
      <vt:lpstr>tcalc</vt:lpstr>
      <vt:lpstr>tg_alfa_adm</vt:lpstr>
      <vt:lpstr>tin</vt:lpstr>
      <vt:lpstr>tipo</vt:lpstr>
      <vt:lpstr>tipo_estructura</vt:lpstr>
      <vt:lpstr>tmin</vt:lpstr>
      <vt:lpstr>vhor</vt:lpstr>
      <vt:lpstr>vtg</vt:lpstr>
      <vt:lpstr>yhor</vt:lpstr>
      <vt:lpstr>ytierra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proobra</dc:creator>
  <cp:lastModifiedBy>German Pesoa</cp:lastModifiedBy>
  <dcterms:created xsi:type="dcterms:W3CDTF">2022-08-30T14:20:41Z</dcterms:created>
  <dcterms:modified xsi:type="dcterms:W3CDTF">2025-12-29T17:35:53Z</dcterms:modified>
</cp:coreProperties>
</file>